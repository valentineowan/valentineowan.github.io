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-library\Vowan_Database\Valentine_Site_Clean\data\"/>
    </mc:Choice>
  </mc:AlternateContent>
  <xr:revisionPtr revIDLastSave="0" documentId="13_ncr:1_{955FE583-86B0-46C1-8FBD-95830BE473CB}" xr6:coauthVersionLast="47" xr6:coauthVersionMax="47" xr10:uidLastSave="{00000000-0000-0000-0000-000000000000}"/>
  <bookViews>
    <workbookView xWindow="-108" yWindow="-108" windowWidth="23256" windowHeight="13176" activeTab="2" xr2:uid="{5AED610E-1BCD-4084-BC64-9696F4CB73F8}"/>
  </bookViews>
  <sheets>
    <sheet name="Computations" sheetId="1" r:id="rId1"/>
    <sheet name="University_Metrics" sheetId="2" r:id="rId2"/>
    <sheet name="Block_Metrics" sheetId="14" r:id="rId3"/>
    <sheet name="TRO" sheetId="3" r:id="rId4"/>
    <sheet name="RPS" sheetId="4" r:id="rId5"/>
    <sheet name="RII" sheetId="5" r:id="rId6"/>
    <sheet name="ANPS" sheetId="6" r:id="rId7"/>
    <sheet name="RMF" sheetId="7" r:id="rId8"/>
    <sheet name="IRD" sheetId="8" r:id="rId9"/>
    <sheet name="ANOI" sheetId="9" r:id="rId10"/>
    <sheet name="BOS" sheetId="10" r:id="rId11"/>
    <sheet name="MOI" sheetId="11" r:id="rId12"/>
    <sheet name="BL-RII" sheetId="12" r:id="rId13"/>
    <sheet name="URPI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C5" i="12"/>
  <c r="D5" i="12"/>
  <c r="B5" i="12"/>
  <c r="E5" i="11"/>
  <c r="C5" i="11"/>
  <c r="D5" i="11"/>
  <c r="B5" i="11"/>
  <c r="C5" i="10"/>
  <c r="D5" i="10"/>
  <c r="E5" i="10"/>
  <c r="B5" i="10"/>
  <c r="M10" i="1"/>
  <c r="M11" i="1"/>
  <c r="M12" i="1"/>
  <c r="M13" i="1"/>
  <c r="M14" i="1"/>
  <c r="M15" i="1"/>
  <c r="M16" i="1"/>
  <c r="M17" i="1"/>
  <c r="M18" i="1"/>
  <c r="M19" i="1"/>
  <c r="M20" i="1"/>
  <c r="M21" i="1"/>
  <c r="M23" i="1"/>
  <c r="M24" i="1"/>
  <c r="M25" i="1"/>
  <c r="M26" i="1"/>
  <c r="M27" i="1"/>
  <c r="M3" i="1"/>
  <c r="M4" i="1"/>
  <c r="M5" i="1"/>
  <c r="M6" i="1"/>
  <c r="M7" i="1"/>
  <c r="M8" i="1"/>
  <c r="M2" i="1"/>
  <c r="L3" i="1"/>
  <c r="L4" i="1"/>
  <c r="L12" i="1"/>
  <c r="L13" i="1"/>
  <c r="L20" i="1"/>
  <c r="L21" i="1"/>
  <c r="H31" i="1"/>
  <c r="H30" i="1"/>
  <c r="I3" i="1"/>
  <c r="I4" i="1"/>
  <c r="I5" i="1"/>
  <c r="I6" i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" i="1"/>
  <c r="H3" i="1"/>
  <c r="H4" i="1"/>
  <c r="H5" i="1"/>
  <c r="L5" i="1" s="1"/>
  <c r="H6" i="1"/>
  <c r="L6" i="1" s="1"/>
  <c r="H7" i="1"/>
  <c r="L7" i="1" s="1"/>
  <c r="H8" i="1"/>
  <c r="L8" i="1" s="1"/>
  <c r="H10" i="1"/>
  <c r="L10" i="1" s="1"/>
  <c r="H11" i="1"/>
  <c r="L11" i="1" s="1"/>
  <c r="H12" i="1"/>
  <c r="H13" i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H21" i="1"/>
  <c r="H23" i="1"/>
  <c r="L23" i="1" s="1"/>
  <c r="H24" i="1"/>
  <c r="L24" i="1" s="1"/>
  <c r="H25" i="1"/>
  <c r="L25" i="1" s="1"/>
  <c r="H26" i="1"/>
  <c r="L26" i="1" s="1"/>
  <c r="H27" i="1"/>
  <c r="L27" i="1" s="1"/>
  <c r="H2" i="1"/>
  <c r="L2" i="1" s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" i="1"/>
  <c r="F28" i="1"/>
  <c r="E28" i="1"/>
  <c r="P28" i="1" s="1"/>
  <c r="F22" i="1"/>
  <c r="E22" i="1"/>
  <c r="P22" i="1" s="1"/>
  <c r="F9" i="1"/>
  <c r="F29" i="1" s="1"/>
  <c r="E9" i="1"/>
  <c r="H29" i="1" l="1"/>
  <c r="I29" i="1" s="1"/>
  <c r="I30" i="1" s="1"/>
  <c r="O9" i="1"/>
  <c r="O22" i="1"/>
  <c r="O28" i="1"/>
  <c r="E29" i="1"/>
  <c r="N9" i="1" s="1"/>
  <c r="P9" i="1"/>
  <c r="N28" i="1" l="1"/>
  <c r="N22" i="1"/>
</calcChain>
</file>

<file path=xl/sharedStrings.xml><?xml version="1.0" encoding="utf-8"?>
<sst xmlns="http://schemas.openxmlformats.org/spreadsheetml/2006/main" count="876" uniqueCount="85">
  <si>
    <t>Block</t>
  </si>
  <si>
    <t>Institution</t>
  </si>
  <si>
    <t>Federal Universities</t>
  </si>
  <si>
    <t>University of Benin</t>
  </si>
  <si>
    <t>University of Calabar</t>
  </si>
  <si>
    <t>University of Port-Harcourt</t>
  </si>
  <si>
    <t>University of Uyo</t>
  </si>
  <si>
    <t>Fed. University of Petroleum Res.</t>
  </si>
  <si>
    <t>Federal University, Otuoke</t>
  </si>
  <si>
    <t>Admiralty University Ibusa</t>
  </si>
  <si>
    <t>Subtotal (Federal Universities)</t>
  </si>
  <si>
    <t>State Universities</t>
  </si>
  <si>
    <t>Delta State University Abraka</t>
  </si>
  <si>
    <t>Rivers State University</t>
  </si>
  <si>
    <t>Ambrose Alli University</t>
  </si>
  <si>
    <t>Niger Delta University Wilberforce Island</t>
  </si>
  <si>
    <t>Akwa Ibom State University</t>
  </si>
  <si>
    <t>University of Cross River State</t>
  </si>
  <si>
    <t>Ignatius Ajuru University of Education</t>
  </si>
  <si>
    <t>Edo University Iyamho</t>
  </si>
  <si>
    <t>Bayelsa Medical University, Yenagoa</t>
  </si>
  <si>
    <t>Delta University of Science and Tech.</t>
  </si>
  <si>
    <t>Dennis Osadebay University, Asaba</t>
  </si>
  <si>
    <t>University of Delta, Agbor</t>
  </si>
  <si>
    <t>Subtotal (State Universities)</t>
  </si>
  <si>
    <t>Private Universities</t>
  </si>
  <si>
    <t>Igbinedion University Okada</t>
  </si>
  <si>
    <t>Benson Idahosa University, Benin City</t>
  </si>
  <si>
    <t>Western Delta University, Oghara</t>
  </si>
  <si>
    <t>Wellspring University, Evbuobanosa</t>
  </si>
  <si>
    <t>Topfaith University, Mkpatak</t>
  </si>
  <si>
    <t>Subtotal (Private Universities)</t>
  </si>
  <si>
    <t>Grand Total</t>
  </si>
  <si>
    <t>Year established</t>
  </si>
  <si>
    <t>Number of Documents</t>
  </si>
  <si>
    <t>Number of Authors</t>
  </si>
  <si>
    <t>Age</t>
  </si>
  <si>
    <t>RII(Docs/authors)</t>
  </si>
  <si>
    <t>ANPS(Docs/Age)</t>
  </si>
  <si>
    <t>IRD(Authors/Age)</t>
  </si>
  <si>
    <t>RMF(Docs/Age x Authors)</t>
  </si>
  <si>
    <t>BOS(Block Share)</t>
  </si>
  <si>
    <t>ANOI (ANPS/Mean ANPS of all institutions)</t>
  </si>
  <si>
    <t>MOI (Block Documents/Number of Institutions in the block)</t>
  </si>
  <si>
    <t>BL-RII</t>
  </si>
  <si>
    <t>URPI</t>
  </si>
  <si>
    <t>S/N</t>
  </si>
  <si>
    <t>Institution Name</t>
  </si>
  <si>
    <t>Year Established</t>
  </si>
  <si>
    <t>Institution Block</t>
  </si>
  <si>
    <t>Number of Documents (TRO)</t>
  </si>
  <si>
    <t>Overall Rank</t>
  </si>
  <si>
    <t>Rank within Block</t>
  </si>
  <si>
    <t>Federal</t>
  </si>
  <si>
    <t>University of Port Harcourt</t>
  </si>
  <si>
    <t>Delta State University, Abraka</t>
  </si>
  <si>
    <t>State</t>
  </si>
  <si>
    <t>Niger Delta University, Wilberforce Island</t>
  </si>
  <si>
    <t>Federal University of Petroleum Resources</t>
  </si>
  <si>
    <t>Delta University of Science and Technology</t>
  </si>
  <si>
    <t>Igbinedion University, Okada</t>
  </si>
  <si>
    <t>Private</t>
  </si>
  <si>
    <t>Admiralty University, Ibusa</t>
  </si>
  <si>
    <t>Number of Authors (RPS)</t>
  </si>
  <si>
    <t>RII (Docs ÷ Authors)</t>
  </si>
  <si>
    <t>ANPS (Docs ÷ Age)</t>
  </si>
  <si>
    <t>RMF</t>
  </si>
  <si>
    <t>IRD (Authors ÷ Age)</t>
  </si>
  <si>
    <t>Documents</t>
  </si>
  <si>
    <t>ANPS</t>
  </si>
  <si>
    <t>ANOI</t>
  </si>
  <si>
    <t>Edo University, Iyamho</t>
  </si>
  <si>
    <t>Niger Delta University</t>
  </si>
  <si>
    <t>Dennis Osadebay University</t>
  </si>
  <si>
    <t>Bayelsa Medical University</t>
  </si>
  <si>
    <t>Benson Idahosa University</t>
  </si>
  <si>
    <t>Topfaith University</t>
  </si>
  <si>
    <t>Western Delta University</t>
  </si>
  <si>
    <t>Wellspring University</t>
  </si>
  <si>
    <t>Block Rank</t>
  </si>
  <si>
    <t>Number of institutions</t>
  </si>
  <si>
    <t>MOI</t>
  </si>
  <si>
    <t>Total</t>
  </si>
  <si>
    <t>RII</t>
  </si>
  <si>
    <t>Number of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</si>
</sst>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032E-1C1F-4592-9D44-6F5EDC8CB87C}">
  <dimension ref="A1:P31"/>
  <sheetViews>
    <sheetView topLeftCell="A9" workbookViewId="0">
      <selection activeCell="C21" sqref="C21"/>
    </sheetView>
  </sheetViews>
  <sheetFormatPr defaultRowHeight="14.4" x14ac:dyDescent="0.3"/>
  <cols>
    <col min="5" max="5" width="16.44140625" customWidth="1"/>
    <col min="6" max="6" width="10.5546875" customWidth="1"/>
    <col min="7" max="7" width="9.5546875" bestFit="1" customWidth="1"/>
    <col min="13" max="13" width="9.5546875" bestFit="1" customWidth="1"/>
  </cols>
  <sheetData>
    <row r="1" spans="1:16" x14ac:dyDescent="0.3">
      <c r="A1" t="s">
        <v>0</v>
      </c>
      <c r="B1" t="s">
        <v>1</v>
      </c>
      <c r="C1" t="s">
        <v>33</v>
      </c>
      <c r="D1" t="s">
        <v>36</v>
      </c>
      <c r="E1" t="s">
        <v>34</v>
      </c>
      <c r="F1" t="s">
        <v>35</v>
      </c>
      <c r="G1" t="s">
        <v>37</v>
      </c>
      <c r="H1" t="s">
        <v>38</v>
      </c>
      <c r="I1" t="s">
        <v>40</v>
      </c>
      <c r="J1" t="s">
        <v>39</v>
      </c>
      <c r="L1" t="s">
        <v>42</v>
      </c>
      <c r="M1" t="s">
        <v>45</v>
      </c>
      <c r="N1" t="s">
        <v>41</v>
      </c>
      <c r="O1" t="s">
        <v>43</v>
      </c>
      <c r="P1" t="s">
        <v>44</v>
      </c>
    </row>
    <row r="2" spans="1:16" x14ac:dyDescent="0.3">
      <c r="A2" t="s">
        <v>2</v>
      </c>
      <c r="B2" t="s">
        <v>3</v>
      </c>
      <c r="C2">
        <v>1970</v>
      </c>
      <c r="D2">
        <v>56</v>
      </c>
      <c r="E2">
        <v>9534</v>
      </c>
      <c r="F2">
        <v>4321</v>
      </c>
      <c r="G2" s="1">
        <f>E2/F2</f>
        <v>2.2064336959037258</v>
      </c>
      <c r="H2" s="2">
        <f>E2/D2</f>
        <v>170.25</v>
      </c>
      <c r="I2" s="2">
        <f>E2/(D2*F2)</f>
        <v>3.9400601712566534E-2</v>
      </c>
      <c r="J2" s="2">
        <f t="shared" ref="J2:J8" si="0">F2/D2</f>
        <v>77.160714285714292</v>
      </c>
      <c r="K2">
        <v>53.210999999999999</v>
      </c>
      <c r="L2" s="2">
        <f>H2/K2</f>
        <v>3.1995264137114505</v>
      </c>
      <c r="M2" s="2">
        <f>(0.4*H2)+(0.4*G2)+(0.2*I2)</f>
        <v>68.990453598704022</v>
      </c>
    </row>
    <row r="3" spans="1:16" x14ac:dyDescent="0.3">
      <c r="B3" t="s">
        <v>4</v>
      </c>
      <c r="C3">
        <v>1975</v>
      </c>
      <c r="D3">
        <v>51</v>
      </c>
      <c r="E3">
        <v>6836</v>
      </c>
      <c r="F3">
        <v>3790</v>
      </c>
      <c r="G3" s="1">
        <f t="shared" ref="G3:G27" si="1">E3/F3</f>
        <v>1.8036939313984168</v>
      </c>
      <c r="H3" s="2">
        <f t="shared" ref="H3:H27" si="2">E3/D3</f>
        <v>134.0392156862745</v>
      </c>
      <c r="I3" s="2">
        <f t="shared" ref="I3:I27" si="3">E3/(D3*F3)</f>
        <v>3.5366547674478763E-2</v>
      </c>
      <c r="J3" s="2">
        <f t="shared" si="0"/>
        <v>74.313725490196077</v>
      </c>
      <c r="K3">
        <v>53.210999999999999</v>
      </c>
      <c r="L3" s="2">
        <f t="shared" ref="L3:L27" si="4">H3/K3</f>
        <v>2.5190132808305519</v>
      </c>
      <c r="M3" s="2">
        <f t="shared" ref="M3:M27" si="5">(0.4*H3)+(0.4*G3)+(0.2*I3)</f>
        <v>54.344237156604066</v>
      </c>
    </row>
    <row r="4" spans="1:16" x14ac:dyDescent="0.3">
      <c r="B4" t="s">
        <v>5</v>
      </c>
      <c r="C4">
        <v>1975</v>
      </c>
      <c r="D4">
        <v>51</v>
      </c>
      <c r="E4">
        <v>6497</v>
      </c>
      <c r="F4">
        <v>2962</v>
      </c>
      <c r="G4" s="1">
        <f t="shared" si="1"/>
        <v>2.1934503713706954</v>
      </c>
      <c r="H4" s="2">
        <f t="shared" si="2"/>
        <v>127.3921568627451</v>
      </c>
      <c r="I4" s="2">
        <f t="shared" si="3"/>
        <v>4.3008830811190106E-2</v>
      </c>
      <c r="J4" s="2">
        <f t="shared" si="0"/>
        <v>58.078431372549019</v>
      </c>
      <c r="K4">
        <v>53.210999999999999</v>
      </c>
      <c r="L4" s="2">
        <f t="shared" si="4"/>
        <v>2.3940943951954501</v>
      </c>
      <c r="M4" s="2">
        <f t="shared" si="5"/>
        <v>51.842844659808556</v>
      </c>
    </row>
    <row r="5" spans="1:16" x14ac:dyDescent="0.3">
      <c r="B5" t="s">
        <v>6</v>
      </c>
      <c r="C5">
        <v>1991</v>
      </c>
      <c r="D5">
        <v>35</v>
      </c>
      <c r="E5">
        <v>3673</v>
      </c>
      <c r="F5">
        <v>1880</v>
      </c>
      <c r="G5" s="1">
        <f t="shared" si="1"/>
        <v>1.9537234042553191</v>
      </c>
      <c r="H5" s="2">
        <f t="shared" si="2"/>
        <v>104.94285714285714</v>
      </c>
      <c r="I5" s="2">
        <f t="shared" si="3"/>
        <v>5.5820668693009119E-2</v>
      </c>
      <c r="J5" s="2">
        <f t="shared" si="0"/>
        <v>53.714285714285715</v>
      </c>
      <c r="K5">
        <v>53.210999999999999</v>
      </c>
      <c r="L5" s="2">
        <f t="shared" si="4"/>
        <v>1.9722023104782307</v>
      </c>
      <c r="M5" s="2">
        <f t="shared" si="5"/>
        <v>42.76979635258359</v>
      </c>
    </row>
    <row r="6" spans="1:16" x14ac:dyDescent="0.3">
      <c r="B6" t="s">
        <v>7</v>
      </c>
      <c r="C6">
        <v>2007</v>
      </c>
      <c r="D6">
        <v>19</v>
      </c>
      <c r="E6">
        <v>909</v>
      </c>
      <c r="F6">
        <v>294</v>
      </c>
      <c r="G6" s="1">
        <f t="shared" si="1"/>
        <v>3.0918367346938775</v>
      </c>
      <c r="H6" s="2">
        <f t="shared" si="2"/>
        <v>47.842105263157897</v>
      </c>
      <c r="I6" s="2">
        <f t="shared" si="3"/>
        <v>0.16272824919441461</v>
      </c>
      <c r="J6" s="2">
        <f t="shared" si="0"/>
        <v>15.473684210526315</v>
      </c>
      <c r="K6">
        <v>53.210999999999999</v>
      </c>
      <c r="L6" s="2">
        <f t="shared" si="4"/>
        <v>0.89910178841137922</v>
      </c>
      <c r="M6" s="2">
        <f t="shared" si="5"/>
        <v>20.406122448979595</v>
      </c>
    </row>
    <row r="7" spans="1:16" x14ac:dyDescent="0.3">
      <c r="B7" t="s">
        <v>8</v>
      </c>
      <c r="C7">
        <v>2011</v>
      </c>
      <c r="D7">
        <v>15</v>
      </c>
      <c r="E7">
        <v>489</v>
      </c>
      <c r="F7">
        <v>182</v>
      </c>
      <c r="G7" s="1">
        <f t="shared" si="1"/>
        <v>2.6868131868131866</v>
      </c>
      <c r="H7" s="2">
        <f t="shared" si="2"/>
        <v>32.6</v>
      </c>
      <c r="I7" s="2">
        <f t="shared" si="3"/>
        <v>0.17912087912087912</v>
      </c>
      <c r="J7" s="2">
        <f t="shared" si="0"/>
        <v>12.133333333333333</v>
      </c>
      <c r="K7">
        <v>53.210999999999999</v>
      </c>
      <c r="L7" s="2">
        <f t="shared" si="4"/>
        <v>0.61265527804401354</v>
      </c>
      <c r="M7" s="2">
        <f t="shared" si="5"/>
        <v>14.150549450549452</v>
      </c>
    </row>
    <row r="8" spans="1:16" x14ac:dyDescent="0.3">
      <c r="B8" t="s">
        <v>9</v>
      </c>
      <c r="C8">
        <v>2023</v>
      </c>
      <c r="D8">
        <v>3</v>
      </c>
      <c r="E8">
        <v>32</v>
      </c>
      <c r="F8">
        <v>25</v>
      </c>
      <c r="G8" s="1">
        <f t="shared" si="1"/>
        <v>1.28</v>
      </c>
      <c r="H8" s="2">
        <f t="shared" si="2"/>
        <v>10.666666666666666</v>
      </c>
      <c r="I8" s="2">
        <f t="shared" si="3"/>
        <v>0.42666666666666669</v>
      </c>
      <c r="J8" s="2">
        <f t="shared" si="0"/>
        <v>8.3333333333333339</v>
      </c>
      <c r="K8">
        <v>53.210999999999999</v>
      </c>
      <c r="L8" s="2">
        <f t="shared" si="4"/>
        <v>0.2004598046769778</v>
      </c>
      <c r="M8" s="2">
        <f t="shared" si="5"/>
        <v>4.8639999999999999</v>
      </c>
    </row>
    <row r="9" spans="1:16" x14ac:dyDescent="0.3">
      <c r="B9" t="s">
        <v>10</v>
      </c>
      <c r="E9">
        <f>SUM(E2:E8)</f>
        <v>27970</v>
      </c>
      <c r="F9">
        <f>SUM(F2:F8)</f>
        <v>13454</v>
      </c>
      <c r="G9" s="1"/>
      <c r="H9" s="2"/>
      <c r="I9" s="2"/>
      <c r="J9" s="2"/>
      <c r="L9" s="2"/>
      <c r="M9" s="2"/>
      <c r="N9" s="2">
        <f>(E9/E29)*100</f>
        <v>68.644774947234083</v>
      </c>
      <c r="O9">
        <f>E9/7</f>
        <v>3995.7142857142858</v>
      </c>
      <c r="P9">
        <f>E9/F9</f>
        <v>2.078935632525643</v>
      </c>
    </row>
    <row r="10" spans="1:16" x14ac:dyDescent="0.3">
      <c r="A10" t="s">
        <v>11</v>
      </c>
      <c r="B10" t="s">
        <v>12</v>
      </c>
      <c r="C10">
        <v>1992</v>
      </c>
      <c r="D10">
        <v>34</v>
      </c>
      <c r="E10">
        <v>3437</v>
      </c>
      <c r="F10">
        <v>1838</v>
      </c>
      <c r="G10" s="1">
        <f t="shared" si="1"/>
        <v>1.8699673558215451</v>
      </c>
      <c r="H10" s="2">
        <f t="shared" si="2"/>
        <v>101.08823529411765</v>
      </c>
      <c r="I10" s="2">
        <f t="shared" si="3"/>
        <v>5.4999039877104271E-2</v>
      </c>
      <c r="J10" s="2">
        <f t="shared" ref="J10:J21" si="6">F10/D10</f>
        <v>54.058823529411768</v>
      </c>
      <c r="K10">
        <v>53.210999999999999</v>
      </c>
      <c r="L10" s="2">
        <f t="shared" si="4"/>
        <v>1.8997619908311751</v>
      </c>
      <c r="M10" s="2">
        <f t="shared" si="5"/>
        <v>41.1942808679511</v>
      </c>
      <c r="N10" s="2"/>
    </row>
    <row r="11" spans="1:16" x14ac:dyDescent="0.3">
      <c r="B11" t="s">
        <v>13</v>
      </c>
      <c r="C11">
        <v>1979</v>
      </c>
      <c r="D11">
        <v>47</v>
      </c>
      <c r="E11">
        <v>2279</v>
      </c>
      <c r="F11">
        <v>1060</v>
      </c>
      <c r="G11" s="1">
        <f t="shared" si="1"/>
        <v>2.15</v>
      </c>
      <c r="H11" s="2">
        <f t="shared" si="2"/>
        <v>48.48936170212766</v>
      </c>
      <c r="I11" s="2">
        <f t="shared" si="3"/>
        <v>4.5744680851063826E-2</v>
      </c>
      <c r="J11" s="2">
        <f t="shared" si="6"/>
        <v>22.553191489361701</v>
      </c>
      <c r="K11">
        <v>53.210999999999999</v>
      </c>
      <c r="L11" s="2">
        <f t="shared" si="4"/>
        <v>0.91126574772373492</v>
      </c>
      <c r="M11" s="2">
        <f t="shared" si="5"/>
        <v>20.264893617021279</v>
      </c>
      <c r="N11" s="2"/>
    </row>
    <row r="12" spans="1:16" x14ac:dyDescent="0.3">
      <c r="B12" t="s">
        <v>14</v>
      </c>
      <c r="C12">
        <v>1981</v>
      </c>
      <c r="D12">
        <v>45</v>
      </c>
      <c r="E12">
        <v>1319</v>
      </c>
      <c r="F12">
        <v>726</v>
      </c>
      <c r="G12" s="1">
        <f t="shared" si="1"/>
        <v>1.8168044077134986</v>
      </c>
      <c r="H12" s="2">
        <f t="shared" si="2"/>
        <v>29.31111111111111</v>
      </c>
      <c r="I12" s="2">
        <f t="shared" si="3"/>
        <v>4.0373431282522194E-2</v>
      </c>
      <c r="J12" s="2">
        <f t="shared" si="6"/>
        <v>16.133333333333333</v>
      </c>
      <c r="K12">
        <v>53.210999999999999</v>
      </c>
      <c r="L12" s="2">
        <f t="shared" si="4"/>
        <v>0.55084683826861192</v>
      </c>
      <c r="M12" s="2">
        <f t="shared" si="5"/>
        <v>12.459240893786347</v>
      </c>
      <c r="N12" s="2"/>
    </row>
    <row r="13" spans="1:16" x14ac:dyDescent="0.3">
      <c r="B13" t="s">
        <v>15</v>
      </c>
      <c r="C13">
        <v>2000</v>
      </c>
      <c r="D13">
        <v>26</v>
      </c>
      <c r="E13">
        <v>1257</v>
      </c>
      <c r="F13">
        <v>528</v>
      </c>
      <c r="G13" s="1">
        <f t="shared" si="1"/>
        <v>2.3806818181818183</v>
      </c>
      <c r="H13" s="2">
        <f t="shared" si="2"/>
        <v>48.346153846153847</v>
      </c>
      <c r="I13" s="2">
        <f t="shared" si="3"/>
        <v>9.1564685314685312E-2</v>
      </c>
      <c r="J13" s="2">
        <f t="shared" si="6"/>
        <v>20.307692307692307</v>
      </c>
      <c r="K13">
        <v>53.210999999999999</v>
      </c>
      <c r="L13" s="2">
        <f t="shared" si="4"/>
        <v>0.90857442720779258</v>
      </c>
      <c r="M13" s="2">
        <f t="shared" si="5"/>
        <v>20.309047202797206</v>
      </c>
      <c r="N13" s="2"/>
    </row>
    <row r="14" spans="1:16" x14ac:dyDescent="0.3">
      <c r="B14" t="s">
        <v>16</v>
      </c>
      <c r="C14">
        <v>2010</v>
      </c>
      <c r="D14">
        <v>16</v>
      </c>
      <c r="E14">
        <v>828</v>
      </c>
      <c r="F14">
        <v>302</v>
      </c>
      <c r="G14" s="1">
        <f t="shared" si="1"/>
        <v>2.7417218543046356</v>
      </c>
      <c r="H14" s="2">
        <f t="shared" si="2"/>
        <v>51.75</v>
      </c>
      <c r="I14" s="2">
        <f t="shared" si="3"/>
        <v>0.17135761589403972</v>
      </c>
      <c r="J14" s="2">
        <f t="shared" si="6"/>
        <v>18.875</v>
      </c>
      <c r="K14">
        <v>53.210999999999999</v>
      </c>
      <c r="L14" s="2">
        <f t="shared" si="4"/>
        <v>0.9725432711281502</v>
      </c>
      <c r="M14" s="2">
        <f t="shared" si="5"/>
        <v>21.830960264900668</v>
      </c>
      <c r="N14" s="2"/>
    </row>
    <row r="15" spans="1:16" x14ac:dyDescent="0.3">
      <c r="B15" t="s">
        <v>17</v>
      </c>
      <c r="C15">
        <v>2004</v>
      </c>
      <c r="D15">
        <v>22</v>
      </c>
      <c r="E15">
        <v>726</v>
      </c>
      <c r="F15">
        <v>282</v>
      </c>
      <c r="G15" s="1">
        <f t="shared" si="1"/>
        <v>2.5744680851063828</v>
      </c>
      <c r="H15" s="2">
        <f t="shared" si="2"/>
        <v>33</v>
      </c>
      <c r="I15" s="2">
        <f t="shared" si="3"/>
        <v>0.11702127659574468</v>
      </c>
      <c r="J15" s="2">
        <f t="shared" si="6"/>
        <v>12.818181818181818</v>
      </c>
      <c r="K15">
        <v>53.210999999999999</v>
      </c>
      <c r="L15" s="2">
        <f t="shared" si="4"/>
        <v>0.6201725207194001</v>
      </c>
      <c r="M15" s="2">
        <f t="shared" si="5"/>
        <v>14.253191489361702</v>
      </c>
      <c r="N15" s="2"/>
    </row>
    <row r="16" spans="1:16" x14ac:dyDescent="0.3">
      <c r="B16" t="s">
        <v>18</v>
      </c>
      <c r="C16">
        <v>2010</v>
      </c>
      <c r="D16">
        <v>16</v>
      </c>
      <c r="E16">
        <v>206</v>
      </c>
      <c r="F16">
        <v>136</v>
      </c>
      <c r="G16" s="1">
        <f t="shared" si="1"/>
        <v>1.5147058823529411</v>
      </c>
      <c r="H16" s="2">
        <f t="shared" si="2"/>
        <v>12.875</v>
      </c>
      <c r="I16" s="2">
        <f t="shared" si="3"/>
        <v>9.466911764705882E-2</v>
      </c>
      <c r="J16" s="2">
        <f t="shared" si="6"/>
        <v>8.5</v>
      </c>
      <c r="K16">
        <v>53.210999999999999</v>
      </c>
      <c r="L16" s="2">
        <f t="shared" si="4"/>
        <v>0.24196124861400839</v>
      </c>
      <c r="M16" s="2">
        <f t="shared" si="5"/>
        <v>5.7748161764705879</v>
      </c>
      <c r="N16" s="2"/>
    </row>
    <row r="17" spans="1:16" x14ac:dyDescent="0.3">
      <c r="B17" t="s">
        <v>19</v>
      </c>
      <c r="C17">
        <v>2016</v>
      </c>
      <c r="D17">
        <v>10</v>
      </c>
      <c r="E17">
        <v>484</v>
      </c>
      <c r="F17">
        <v>63</v>
      </c>
      <c r="G17" s="1">
        <f t="shared" si="1"/>
        <v>7.6825396825396828</v>
      </c>
      <c r="H17" s="2">
        <f t="shared" si="2"/>
        <v>48.4</v>
      </c>
      <c r="I17" s="2">
        <f t="shared" si="3"/>
        <v>0.7682539682539683</v>
      </c>
      <c r="J17" s="2">
        <f t="shared" si="6"/>
        <v>6.3</v>
      </c>
      <c r="K17">
        <v>53.210999999999999</v>
      </c>
      <c r="L17" s="2">
        <f t="shared" si="4"/>
        <v>0.90958636372178681</v>
      </c>
      <c r="M17" s="2">
        <f t="shared" si="5"/>
        <v>22.586666666666666</v>
      </c>
      <c r="N17" s="2"/>
    </row>
    <row r="18" spans="1:16" x14ac:dyDescent="0.3">
      <c r="B18" t="s">
        <v>20</v>
      </c>
      <c r="C18">
        <v>2019</v>
      </c>
      <c r="D18">
        <v>7</v>
      </c>
      <c r="E18">
        <v>285</v>
      </c>
      <c r="F18">
        <v>48</v>
      </c>
      <c r="G18" s="1">
        <f t="shared" si="1"/>
        <v>5.9375</v>
      </c>
      <c r="H18" s="2">
        <f t="shared" si="2"/>
        <v>40.714285714285715</v>
      </c>
      <c r="I18" s="2">
        <f t="shared" si="3"/>
        <v>0.8482142857142857</v>
      </c>
      <c r="J18" s="2">
        <f t="shared" si="6"/>
        <v>6.8571428571428568</v>
      </c>
      <c r="K18">
        <v>53.210999999999999</v>
      </c>
      <c r="L18" s="2">
        <f t="shared" si="4"/>
        <v>0.76514791517328595</v>
      </c>
      <c r="M18" s="2">
        <f t="shared" si="5"/>
        <v>18.830357142857146</v>
      </c>
      <c r="N18" s="2"/>
    </row>
    <row r="19" spans="1:16" x14ac:dyDescent="0.3">
      <c r="B19" t="s">
        <v>21</v>
      </c>
      <c r="C19">
        <v>2021</v>
      </c>
      <c r="D19">
        <v>5</v>
      </c>
      <c r="E19">
        <v>429</v>
      </c>
      <c r="F19">
        <v>245</v>
      </c>
      <c r="G19" s="1">
        <f t="shared" si="1"/>
        <v>1.7510204081632652</v>
      </c>
      <c r="H19" s="2">
        <f t="shared" si="2"/>
        <v>85.8</v>
      </c>
      <c r="I19" s="2">
        <f t="shared" si="3"/>
        <v>0.35020408163265304</v>
      </c>
      <c r="J19" s="2">
        <f t="shared" si="6"/>
        <v>49</v>
      </c>
      <c r="K19">
        <v>53.210999999999999</v>
      </c>
      <c r="L19" s="2">
        <f t="shared" si="4"/>
        <v>1.6124485538704403</v>
      </c>
      <c r="M19" s="2">
        <f t="shared" si="5"/>
        <v>35.090448979591841</v>
      </c>
      <c r="N19" s="2"/>
    </row>
    <row r="20" spans="1:16" x14ac:dyDescent="0.3">
      <c r="B20" t="s">
        <v>22</v>
      </c>
      <c r="C20">
        <v>2021</v>
      </c>
      <c r="D20">
        <v>5</v>
      </c>
      <c r="E20">
        <v>233</v>
      </c>
      <c r="F20">
        <v>151</v>
      </c>
      <c r="G20" s="1">
        <f t="shared" si="1"/>
        <v>1.5430463576158941</v>
      </c>
      <c r="H20" s="2">
        <f t="shared" si="2"/>
        <v>46.6</v>
      </c>
      <c r="I20" s="2">
        <f t="shared" si="3"/>
        <v>0.3086092715231788</v>
      </c>
      <c r="J20" s="2">
        <f t="shared" si="6"/>
        <v>30.2</v>
      </c>
      <c r="K20">
        <v>53.210999999999999</v>
      </c>
      <c r="L20" s="2">
        <f t="shared" si="4"/>
        <v>0.8757587716825469</v>
      </c>
      <c r="M20" s="2">
        <f t="shared" si="5"/>
        <v>19.318940397350996</v>
      </c>
      <c r="N20" s="2"/>
    </row>
    <row r="21" spans="1:16" x14ac:dyDescent="0.3">
      <c r="B21" t="s">
        <v>23</v>
      </c>
      <c r="C21">
        <v>2021</v>
      </c>
      <c r="D21">
        <v>5</v>
      </c>
      <c r="E21">
        <v>247</v>
      </c>
      <c r="F21">
        <v>141</v>
      </c>
      <c r="G21" s="1">
        <f t="shared" si="1"/>
        <v>1.75177304964539</v>
      </c>
      <c r="H21" s="2">
        <f t="shared" si="2"/>
        <v>49.4</v>
      </c>
      <c r="I21" s="2">
        <f t="shared" si="3"/>
        <v>0.35035460992907802</v>
      </c>
      <c r="J21" s="2">
        <f t="shared" si="6"/>
        <v>28.2</v>
      </c>
      <c r="K21">
        <v>53.210999999999999</v>
      </c>
      <c r="L21" s="2">
        <f t="shared" si="4"/>
        <v>0.92837947041025348</v>
      </c>
      <c r="M21" s="2">
        <f t="shared" si="5"/>
        <v>20.530780141843973</v>
      </c>
      <c r="N21" s="2"/>
    </row>
    <row r="22" spans="1:16" x14ac:dyDescent="0.3">
      <c r="B22" t="s">
        <v>24</v>
      </c>
      <c r="E22">
        <f>SUM(E10:E21)</f>
        <v>11730</v>
      </c>
      <c r="F22">
        <f>SUM(F10:F21)</f>
        <v>5520</v>
      </c>
      <c r="H22" s="2"/>
      <c r="I22" s="2"/>
      <c r="J22" s="2"/>
      <c r="L22" s="2"/>
      <c r="M22" s="2"/>
      <c r="N22" s="2">
        <f>(E22/E29)*100</f>
        <v>28.788101899572965</v>
      </c>
      <c r="O22">
        <f>E22/12</f>
        <v>977.5</v>
      </c>
      <c r="P22" s="1">
        <f>E22/F22</f>
        <v>2.125</v>
      </c>
    </row>
    <row r="23" spans="1:16" x14ac:dyDescent="0.3">
      <c r="A23" t="s">
        <v>25</v>
      </c>
      <c r="B23" t="s">
        <v>26</v>
      </c>
      <c r="C23">
        <v>1999</v>
      </c>
      <c r="D23">
        <v>27</v>
      </c>
      <c r="E23">
        <v>453</v>
      </c>
      <c r="F23">
        <v>264</v>
      </c>
      <c r="G23" s="1">
        <f t="shared" si="1"/>
        <v>1.7159090909090908</v>
      </c>
      <c r="H23" s="2">
        <f t="shared" si="2"/>
        <v>16.777777777777779</v>
      </c>
      <c r="I23" s="2">
        <f t="shared" si="3"/>
        <v>6.3552188552188554E-2</v>
      </c>
      <c r="J23" s="2">
        <f>F23/D23</f>
        <v>9.7777777777777786</v>
      </c>
      <c r="K23">
        <v>53.210999999999999</v>
      </c>
      <c r="L23" s="2">
        <f t="shared" si="4"/>
        <v>0.31530656777316307</v>
      </c>
      <c r="M23" s="2">
        <f t="shared" si="5"/>
        <v>7.4101851851851865</v>
      </c>
      <c r="N23" s="2"/>
    </row>
    <row r="24" spans="1:16" x14ac:dyDescent="0.3">
      <c r="B24" t="s">
        <v>27</v>
      </c>
      <c r="C24">
        <v>2002</v>
      </c>
      <c r="D24">
        <v>24</v>
      </c>
      <c r="E24">
        <v>340</v>
      </c>
      <c r="F24">
        <v>151</v>
      </c>
      <c r="G24" s="1">
        <f t="shared" si="1"/>
        <v>2.2516556291390728</v>
      </c>
      <c r="H24" s="2">
        <f t="shared" si="2"/>
        <v>14.166666666666666</v>
      </c>
      <c r="I24" s="2">
        <f t="shared" si="3"/>
        <v>9.3818984547461362E-2</v>
      </c>
      <c r="J24" s="2">
        <f>F24/D24</f>
        <v>6.291666666666667</v>
      </c>
      <c r="K24">
        <v>53.210999999999999</v>
      </c>
      <c r="L24" s="2">
        <f t="shared" si="4"/>
        <v>0.26623567808661114</v>
      </c>
      <c r="M24" s="2">
        <f t="shared" si="5"/>
        <v>6.5860927152317883</v>
      </c>
      <c r="N24" s="2"/>
    </row>
    <row r="25" spans="1:16" x14ac:dyDescent="0.3">
      <c r="B25" t="s">
        <v>28</v>
      </c>
      <c r="C25">
        <v>2007</v>
      </c>
      <c r="D25">
        <v>19</v>
      </c>
      <c r="E25">
        <v>117</v>
      </c>
      <c r="F25">
        <v>34</v>
      </c>
      <c r="G25" s="1">
        <f t="shared" si="1"/>
        <v>3.4411764705882355</v>
      </c>
      <c r="H25" s="2">
        <f t="shared" si="2"/>
        <v>6.1578947368421053</v>
      </c>
      <c r="I25" s="2">
        <f t="shared" si="3"/>
        <v>0.18111455108359134</v>
      </c>
      <c r="J25" s="2">
        <f>F25/D25</f>
        <v>1.7894736842105263</v>
      </c>
      <c r="K25">
        <v>53.210999999999999</v>
      </c>
      <c r="L25" s="2">
        <f t="shared" si="4"/>
        <v>0.11572597276582108</v>
      </c>
      <c r="M25" s="2">
        <f t="shared" si="5"/>
        <v>3.8758513931888547</v>
      </c>
      <c r="N25" s="2"/>
    </row>
    <row r="26" spans="1:16" x14ac:dyDescent="0.3">
      <c r="B26" t="s">
        <v>29</v>
      </c>
      <c r="C26">
        <v>2009</v>
      </c>
      <c r="D26">
        <v>17</v>
      </c>
      <c r="E26">
        <v>76</v>
      </c>
      <c r="F26">
        <v>32</v>
      </c>
      <c r="G26" s="1">
        <f t="shared" si="1"/>
        <v>2.375</v>
      </c>
      <c r="H26" s="2">
        <f t="shared" si="2"/>
        <v>4.4705882352941178</v>
      </c>
      <c r="I26" s="2">
        <f t="shared" si="3"/>
        <v>0.13970588235294118</v>
      </c>
      <c r="J26" s="2">
        <f>F26/D26</f>
        <v>1.8823529411764706</v>
      </c>
      <c r="K26">
        <v>53.210999999999999</v>
      </c>
      <c r="L26" s="2">
        <f t="shared" si="4"/>
        <v>8.4016241666086289E-2</v>
      </c>
      <c r="M26" s="2">
        <f t="shared" si="5"/>
        <v>2.7661764705882352</v>
      </c>
      <c r="N26" s="2"/>
    </row>
    <row r="27" spans="1:16" x14ac:dyDescent="0.3">
      <c r="B27" t="s">
        <v>30</v>
      </c>
      <c r="C27">
        <v>2021</v>
      </c>
      <c r="D27">
        <v>5</v>
      </c>
      <c r="E27">
        <v>60</v>
      </c>
      <c r="F27">
        <v>24</v>
      </c>
      <c r="G27" s="1">
        <f t="shared" si="1"/>
        <v>2.5</v>
      </c>
      <c r="H27" s="2">
        <f t="shared" si="2"/>
        <v>12</v>
      </c>
      <c r="I27" s="2">
        <f t="shared" si="3"/>
        <v>0.5</v>
      </c>
      <c r="J27" s="2">
        <f>F27/D27</f>
        <v>4.8</v>
      </c>
      <c r="K27">
        <v>53.210999999999999</v>
      </c>
      <c r="L27" s="2">
        <f t="shared" si="4"/>
        <v>0.22551728026160006</v>
      </c>
      <c r="M27" s="2">
        <f t="shared" si="5"/>
        <v>5.9</v>
      </c>
      <c r="N27" s="2"/>
    </row>
    <row r="28" spans="1:16" x14ac:dyDescent="0.3">
      <c r="B28" t="s">
        <v>31</v>
      </c>
      <c r="E28">
        <f>SUM(E23:E27)</f>
        <v>1046</v>
      </c>
      <c r="F28">
        <f>SUM(F23:F27)</f>
        <v>505</v>
      </c>
      <c r="H28" s="2"/>
      <c r="N28" s="2">
        <f>(E28/E29)*100</f>
        <v>2.5671231531929513</v>
      </c>
      <c r="O28">
        <f>E28/5</f>
        <v>209.2</v>
      </c>
      <c r="P28" s="1">
        <f>E28/F28</f>
        <v>2.0712871287128714</v>
      </c>
    </row>
    <row r="29" spans="1:16" x14ac:dyDescent="0.3">
      <c r="B29" t="s">
        <v>32</v>
      </c>
      <c r="E29">
        <f>E9+E22+E28</f>
        <v>40746</v>
      </c>
      <c r="F29">
        <f>F9+F22+F28</f>
        <v>19479</v>
      </c>
      <c r="H29" s="2">
        <f>SUM(H2:H8)</f>
        <v>627.73300162170131</v>
      </c>
      <c r="I29" s="2">
        <f>SUM(H29:H31)</f>
        <v>1277.0800767060778</v>
      </c>
      <c r="N29" s="2"/>
    </row>
    <row r="30" spans="1:16" x14ac:dyDescent="0.3">
      <c r="H30" s="2">
        <f>SUM(H10:H21)</f>
        <v>595.774147667796</v>
      </c>
      <c r="I30">
        <f>I29/24</f>
        <v>53.21166986275324</v>
      </c>
    </row>
    <row r="31" spans="1:16" x14ac:dyDescent="0.3">
      <c r="H31" s="2">
        <f>SUM(H23:H27)</f>
        <v>53.572927416580661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B942-CFA5-4242-96BA-0DCF0303EC68}">
  <dimension ref="A1:L25"/>
  <sheetViews>
    <sheetView workbookViewId="0">
      <selection activeCell="D21" sqref="D21"/>
    </sheetView>
  </sheetViews>
  <sheetFormatPr defaultRowHeight="14.4" x14ac:dyDescent="0.3"/>
  <cols>
    <col min="7" max="7" width="9" bestFit="1" customWidth="1"/>
    <col min="8" max="8" width="9.5546875" bestFit="1" customWidth="1"/>
    <col min="9" max="12" width="9" bestFit="1" customWidth="1"/>
  </cols>
  <sheetData>
    <row r="1" spans="1:12" x14ac:dyDescent="0.3">
      <c r="A1" t="s">
        <v>0</v>
      </c>
      <c r="B1" t="s">
        <v>1</v>
      </c>
      <c r="C1" t="s">
        <v>33</v>
      </c>
      <c r="D1" t="s">
        <v>36</v>
      </c>
      <c r="E1" t="s">
        <v>34</v>
      </c>
      <c r="F1" t="s">
        <v>35</v>
      </c>
      <c r="G1" t="s">
        <v>37</v>
      </c>
      <c r="H1" t="s">
        <v>38</v>
      </c>
      <c r="I1" t="s">
        <v>40</v>
      </c>
      <c r="J1" t="s">
        <v>39</v>
      </c>
      <c r="K1" t="s">
        <v>42</v>
      </c>
      <c r="L1" t="s">
        <v>45</v>
      </c>
    </row>
    <row r="2" spans="1:12" x14ac:dyDescent="0.3">
      <c r="A2" t="s">
        <v>53</v>
      </c>
      <c r="B2" t="s">
        <v>3</v>
      </c>
      <c r="C2">
        <v>1970</v>
      </c>
      <c r="D2">
        <v>56</v>
      </c>
      <c r="E2">
        <v>9534</v>
      </c>
      <c r="F2">
        <v>4321</v>
      </c>
      <c r="G2" s="1">
        <v>2.2064336959037258</v>
      </c>
      <c r="H2" s="1">
        <v>170.25</v>
      </c>
      <c r="I2" s="1">
        <v>3.9400601712566534E-2</v>
      </c>
      <c r="J2" s="1">
        <v>77.160714285714292</v>
      </c>
      <c r="K2" s="1">
        <v>3.1995264137114505</v>
      </c>
      <c r="L2" s="1">
        <v>68.990453598704022</v>
      </c>
    </row>
    <row r="3" spans="1:12" x14ac:dyDescent="0.3">
      <c r="A3" t="s">
        <v>53</v>
      </c>
      <c r="B3" t="s">
        <v>4</v>
      </c>
      <c r="C3">
        <v>1975</v>
      </c>
      <c r="D3">
        <v>51</v>
      </c>
      <c r="E3">
        <v>6836</v>
      </c>
      <c r="F3">
        <v>3790</v>
      </c>
      <c r="G3" s="1">
        <v>1.8036939313984168</v>
      </c>
      <c r="H3" s="1">
        <v>134.0392156862745</v>
      </c>
      <c r="I3" s="1">
        <v>3.5366547674478763E-2</v>
      </c>
      <c r="J3" s="1">
        <v>74.313725490196077</v>
      </c>
      <c r="K3" s="1">
        <v>2.5190132808305519</v>
      </c>
      <c r="L3" s="1">
        <v>54.344237156604066</v>
      </c>
    </row>
    <row r="4" spans="1:12" x14ac:dyDescent="0.3">
      <c r="A4" t="s">
        <v>53</v>
      </c>
      <c r="B4" t="s">
        <v>5</v>
      </c>
      <c r="C4">
        <v>1975</v>
      </c>
      <c r="D4">
        <v>51</v>
      </c>
      <c r="E4">
        <v>6497</v>
      </c>
      <c r="F4">
        <v>2962</v>
      </c>
      <c r="G4" s="1">
        <v>2.1934503713706954</v>
      </c>
      <c r="H4" s="1">
        <v>127.3921568627451</v>
      </c>
      <c r="I4" s="1">
        <v>4.3008830811190106E-2</v>
      </c>
      <c r="J4" s="1">
        <v>58.078431372549019</v>
      </c>
      <c r="K4" s="1">
        <v>2.3940943951954501</v>
      </c>
      <c r="L4" s="1">
        <v>51.842844659808556</v>
      </c>
    </row>
    <row r="5" spans="1:12" x14ac:dyDescent="0.3">
      <c r="A5" t="s">
        <v>53</v>
      </c>
      <c r="B5" t="s">
        <v>6</v>
      </c>
      <c r="C5">
        <v>1991</v>
      </c>
      <c r="D5">
        <v>35</v>
      </c>
      <c r="E5">
        <v>3673</v>
      </c>
      <c r="F5">
        <v>1880</v>
      </c>
      <c r="G5" s="1">
        <v>1.9537234042553191</v>
      </c>
      <c r="H5" s="1">
        <v>104.94285714285714</v>
      </c>
      <c r="I5" s="1">
        <v>5.5820668693009119E-2</v>
      </c>
      <c r="J5" s="1">
        <v>53.714285714285715</v>
      </c>
      <c r="K5" s="1">
        <v>1.9722023104782307</v>
      </c>
      <c r="L5" s="1">
        <v>42.76979635258359</v>
      </c>
    </row>
    <row r="6" spans="1:12" x14ac:dyDescent="0.3">
      <c r="A6" t="s">
        <v>53</v>
      </c>
      <c r="B6" t="s">
        <v>7</v>
      </c>
      <c r="C6">
        <v>2007</v>
      </c>
      <c r="D6">
        <v>19</v>
      </c>
      <c r="E6">
        <v>909</v>
      </c>
      <c r="F6">
        <v>294</v>
      </c>
      <c r="G6" s="1">
        <v>3.0918367346938775</v>
      </c>
      <c r="H6" s="1">
        <v>47.842105263157897</v>
      </c>
      <c r="I6" s="1">
        <v>0.16272824919441461</v>
      </c>
      <c r="J6" s="1">
        <v>15.473684210526315</v>
      </c>
      <c r="K6" s="1">
        <v>0.89910178841137922</v>
      </c>
      <c r="L6" s="1">
        <v>20.406122448979595</v>
      </c>
    </row>
    <row r="7" spans="1:12" x14ac:dyDescent="0.3">
      <c r="A7" t="s">
        <v>53</v>
      </c>
      <c r="B7" t="s">
        <v>8</v>
      </c>
      <c r="C7">
        <v>2011</v>
      </c>
      <c r="D7">
        <v>15</v>
      </c>
      <c r="E7">
        <v>489</v>
      </c>
      <c r="F7">
        <v>182</v>
      </c>
      <c r="G7" s="1">
        <v>2.6868131868131866</v>
      </c>
      <c r="H7" s="1">
        <v>32.6</v>
      </c>
      <c r="I7" s="1">
        <v>0.17912087912087912</v>
      </c>
      <c r="J7" s="1">
        <v>12.133333333333333</v>
      </c>
      <c r="K7" s="1">
        <v>0.61265527804401354</v>
      </c>
      <c r="L7" s="1">
        <v>14.150549450549452</v>
      </c>
    </row>
    <row r="8" spans="1:12" x14ac:dyDescent="0.3">
      <c r="A8" t="s">
        <v>53</v>
      </c>
      <c r="B8" t="s">
        <v>9</v>
      </c>
      <c r="C8">
        <v>2023</v>
      </c>
      <c r="D8">
        <v>3</v>
      </c>
      <c r="E8">
        <v>32</v>
      </c>
      <c r="F8">
        <v>25</v>
      </c>
      <c r="G8" s="1">
        <v>1.28</v>
      </c>
      <c r="H8" s="1">
        <v>10.666666666666666</v>
      </c>
      <c r="I8" s="1">
        <v>0.42666666666666669</v>
      </c>
      <c r="J8" s="1">
        <v>8.3333333333333339</v>
      </c>
      <c r="K8" s="1">
        <v>0.2004598046769778</v>
      </c>
      <c r="L8" s="1">
        <v>4.8639999999999999</v>
      </c>
    </row>
    <row r="9" spans="1:12" x14ac:dyDescent="0.3">
      <c r="A9" t="s">
        <v>56</v>
      </c>
      <c r="B9" t="s">
        <v>12</v>
      </c>
      <c r="C9">
        <v>1992</v>
      </c>
      <c r="D9">
        <v>34</v>
      </c>
      <c r="E9">
        <v>3437</v>
      </c>
      <c r="F9">
        <v>1838</v>
      </c>
      <c r="G9" s="1">
        <v>1.8699673558215451</v>
      </c>
      <c r="H9" s="1">
        <v>101.08823529411765</v>
      </c>
      <c r="I9" s="1">
        <v>5.4999039877104271E-2</v>
      </c>
      <c r="J9" s="1">
        <v>54.058823529411768</v>
      </c>
      <c r="K9" s="1">
        <v>1.8997619908311751</v>
      </c>
      <c r="L9" s="1">
        <v>41.1942808679511</v>
      </c>
    </row>
    <row r="10" spans="1:12" x14ac:dyDescent="0.3">
      <c r="A10" t="s">
        <v>56</v>
      </c>
      <c r="B10" t="s">
        <v>13</v>
      </c>
      <c r="C10">
        <v>1979</v>
      </c>
      <c r="D10">
        <v>47</v>
      </c>
      <c r="E10">
        <v>2279</v>
      </c>
      <c r="F10">
        <v>1060</v>
      </c>
      <c r="G10" s="1">
        <v>2.15</v>
      </c>
      <c r="H10" s="1">
        <v>48.48936170212766</v>
      </c>
      <c r="I10" s="1">
        <v>4.5744680851063826E-2</v>
      </c>
      <c r="J10" s="1">
        <v>22.553191489361701</v>
      </c>
      <c r="K10" s="1">
        <v>0.91126574772373492</v>
      </c>
      <c r="L10" s="1">
        <v>20.264893617021279</v>
      </c>
    </row>
    <row r="11" spans="1:12" x14ac:dyDescent="0.3">
      <c r="A11" t="s">
        <v>56</v>
      </c>
      <c r="B11" t="s">
        <v>14</v>
      </c>
      <c r="C11">
        <v>1981</v>
      </c>
      <c r="D11">
        <v>45</v>
      </c>
      <c r="E11">
        <v>1319</v>
      </c>
      <c r="F11">
        <v>726</v>
      </c>
      <c r="G11" s="1">
        <v>1.8168044077134986</v>
      </c>
      <c r="H11" s="1">
        <v>29.31111111111111</v>
      </c>
      <c r="I11" s="1">
        <v>4.0373431282522194E-2</v>
      </c>
      <c r="J11" s="1">
        <v>16.133333333333333</v>
      </c>
      <c r="K11" s="1">
        <v>0.55084683826861192</v>
      </c>
      <c r="L11" s="1">
        <v>12.459240893786347</v>
      </c>
    </row>
    <row r="12" spans="1:12" x14ac:dyDescent="0.3">
      <c r="A12" t="s">
        <v>56</v>
      </c>
      <c r="B12" t="s">
        <v>15</v>
      </c>
      <c r="C12">
        <v>2000</v>
      </c>
      <c r="D12">
        <v>26</v>
      </c>
      <c r="E12">
        <v>1257</v>
      </c>
      <c r="F12">
        <v>528</v>
      </c>
      <c r="G12" s="1">
        <v>2.3806818181818183</v>
      </c>
      <c r="H12" s="1">
        <v>48.346153846153847</v>
      </c>
      <c r="I12" s="1">
        <v>9.1564685314685312E-2</v>
      </c>
      <c r="J12" s="1">
        <v>20.307692307692307</v>
      </c>
      <c r="K12" s="1">
        <v>0.90857442720779258</v>
      </c>
      <c r="L12" s="1">
        <v>20.309047202797206</v>
      </c>
    </row>
    <row r="13" spans="1:12" x14ac:dyDescent="0.3">
      <c r="A13" t="s">
        <v>56</v>
      </c>
      <c r="B13" t="s">
        <v>16</v>
      </c>
      <c r="C13">
        <v>2010</v>
      </c>
      <c r="D13">
        <v>16</v>
      </c>
      <c r="E13">
        <v>828</v>
      </c>
      <c r="F13">
        <v>302</v>
      </c>
      <c r="G13" s="1">
        <v>2.7417218543046356</v>
      </c>
      <c r="H13" s="1">
        <v>51.75</v>
      </c>
      <c r="I13" s="1">
        <v>0.17135761589403972</v>
      </c>
      <c r="J13" s="1">
        <v>18.875</v>
      </c>
      <c r="K13" s="1">
        <v>0.9725432711281502</v>
      </c>
      <c r="L13" s="1">
        <v>21.830960264900668</v>
      </c>
    </row>
    <row r="14" spans="1:12" x14ac:dyDescent="0.3">
      <c r="A14" t="s">
        <v>56</v>
      </c>
      <c r="B14" t="s">
        <v>17</v>
      </c>
      <c r="C14">
        <v>2004</v>
      </c>
      <c r="D14">
        <v>22</v>
      </c>
      <c r="E14">
        <v>726</v>
      </c>
      <c r="F14">
        <v>282</v>
      </c>
      <c r="G14" s="1">
        <v>2.5744680851063828</v>
      </c>
      <c r="H14" s="1">
        <v>33</v>
      </c>
      <c r="I14" s="1">
        <v>0.11702127659574468</v>
      </c>
      <c r="J14" s="1">
        <v>12.818181818181818</v>
      </c>
      <c r="K14" s="1">
        <v>0.6201725207194001</v>
      </c>
      <c r="L14" s="1">
        <v>14.253191489361702</v>
      </c>
    </row>
    <row r="15" spans="1:12" x14ac:dyDescent="0.3">
      <c r="A15" t="s">
        <v>56</v>
      </c>
      <c r="B15" t="s">
        <v>18</v>
      </c>
      <c r="C15">
        <v>2010</v>
      </c>
      <c r="D15">
        <v>16</v>
      </c>
      <c r="E15">
        <v>206</v>
      </c>
      <c r="F15">
        <v>136</v>
      </c>
      <c r="G15" s="1">
        <v>1.5147058823529411</v>
      </c>
      <c r="H15" s="1">
        <v>12.875</v>
      </c>
      <c r="I15" s="1">
        <v>9.466911764705882E-2</v>
      </c>
      <c r="J15" s="1">
        <v>8.5</v>
      </c>
      <c r="K15" s="1">
        <v>0.24196124861400839</v>
      </c>
      <c r="L15" s="1">
        <v>5.7748161764705879</v>
      </c>
    </row>
    <row r="16" spans="1:12" x14ac:dyDescent="0.3">
      <c r="A16" t="s">
        <v>56</v>
      </c>
      <c r="B16" t="s">
        <v>19</v>
      </c>
      <c r="C16">
        <v>2016</v>
      </c>
      <c r="D16">
        <v>10</v>
      </c>
      <c r="E16">
        <v>484</v>
      </c>
      <c r="F16">
        <v>63</v>
      </c>
      <c r="G16" s="1">
        <v>7.6825396825396828</v>
      </c>
      <c r="H16" s="1">
        <v>48.4</v>
      </c>
      <c r="I16" s="1">
        <v>0.7682539682539683</v>
      </c>
      <c r="J16" s="1">
        <v>6.3</v>
      </c>
      <c r="K16" s="1">
        <v>0.90958636372178681</v>
      </c>
      <c r="L16" s="1">
        <v>22.586666666666666</v>
      </c>
    </row>
    <row r="17" spans="1:12" x14ac:dyDescent="0.3">
      <c r="A17" t="s">
        <v>56</v>
      </c>
      <c r="B17" t="s">
        <v>20</v>
      </c>
      <c r="C17">
        <v>2019</v>
      </c>
      <c r="D17">
        <v>7</v>
      </c>
      <c r="E17">
        <v>285</v>
      </c>
      <c r="F17">
        <v>48</v>
      </c>
      <c r="G17" s="1">
        <v>5.9375</v>
      </c>
      <c r="H17" s="1">
        <v>40.714285714285715</v>
      </c>
      <c r="I17" s="1">
        <v>0.8482142857142857</v>
      </c>
      <c r="J17" s="1">
        <v>6.8571428571428568</v>
      </c>
      <c r="K17" s="1">
        <v>0.76514791517328595</v>
      </c>
      <c r="L17" s="1">
        <v>18.830357142857146</v>
      </c>
    </row>
    <row r="18" spans="1:12" x14ac:dyDescent="0.3">
      <c r="A18" t="s">
        <v>56</v>
      </c>
      <c r="B18" t="s">
        <v>21</v>
      </c>
      <c r="C18">
        <v>2021</v>
      </c>
      <c r="D18">
        <v>5</v>
      </c>
      <c r="E18">
        <v>429</v>
      </c>
      <c r="F18">
        <v>245</v>
      </c>
      <c r="G18" s="1">
        <v>1.7510204081632652</v>
      </c>
      <c r="H18" s="1">
        <v>85.8</v>
      </c>
      <c r="I18" s="1">
        <v>0.35020408163265304</v>
      </c>
      <c r="J18" s="1">
        <v>49</v>
      </c>
      <c r="K18" s="1">
        <v>1.6124485538704403</v>
      </c>
      <c r="L18" s="1">
        <v>35.090448979591841</v>
      </c>
    </row>
    <row r="19" spans="1:12" x14ac:dyDescent="0.3">
      <c r="A19" t="s">
        <v>56</v>
      </c>
      <c r="B19" t="s">
        <v>22</v>
      </c>
      <c r="C19">
        <v>2021</v>
      </c>
      <c r="D19">
        <v>5</v>
      </c>
      <c r="E19">
        <v>233</v>
      </c>
      <c r="F19">
        <v>151</v>
      </c>
      <c r="G19" s="1">
        <v>1.5430463576158941</v>
      </c>
      <c r="H19" s="1">
        <v>46.6</v>
      </c>
      <c r="I19" s="1">
        <v>0.3086092715231788</v>
      </c>
      <c r="J19" s="1">
        <v>30.2</v>
      </c>
      <c r="K19" s="1">
        <v>0.8757587716825469</v>
      </c>
      <c r="L19" s="1">
        <v>19.318940397350996</v>
      </c>
    </row>
    <row r="20" spans="1:12" x14ac:dyDescent="0.3">
      <c r="A20" t="s">
        <v>56</v>
      </c>
      <c r="B20" t="s">
        <v>23</v>
      </c>
      <c r="C20">
        <v>2021</v>
      </c>
      <c r="D20">
        <v>5</v>
      </c>
      <c r="E20">
        <v>247</v>
      </c>
      <c r="F20">
        <v>141</v>
      </c>
      <c r="G20" s="1">
        <v>1.75177304964539</v>
      </c>
      <c r="H20" s="1">
        <v>49.4</v>
      </c>
      <c r="I20" s="1">
        <v>0.35035460992907802</v>
      </c>
      <c r="J20" s="1">
        <v>28.2</v>
      </c>
      <c r="K20" s="1">
        <v>0.92837947041025348</v>
      </c>
      <c r="L20" s="1">
        <v>20.530780141843973</v>
      </c>
    </row>
    <row r="21" spans="1:12" x14ac:dyDescent="0.3">
      <c r="A21" t="s">
        <v>61</v>
      </c>
      <c r="B21" t="s">
        <v>26</v>
      </c>
      <c r="C21">
        <v>1999</v>
      </c>
      <c r="D21">
        <v>27</v>
      </c>
      <c r="E21">
        <v>453</v>
      </c>
      <c r="F21">
        <v>264</v>
      </c>
      <c r="G21" s="1">
        <v>1.7159090909090908</v>
      </c>
      <c r="H21" s="1">
        <v>16.777777777777779</v>
      </c>
      <c r="I21" s="1">
        <v>6.3552188552188554E-2</v>
      </c>
      <c r="J21" s="1">
        <v>9.7777777777777786</v>
      </c>
      <c r="K21" s="1">
        <v>0.31530656777316307</v>
      </c>
      <c r="L21" s="1">
        <v>7.4101851851851865</v>
      </c>
    </row>
    <row r="22" spans="1:12" x14ac:dyDescent="0.3">
      <c r="A22" t="s">
        <v>61</v>
      </c>
      <c r="B22" t="s">
        <v>27</v>
      </c>
      <c r="C22">
        <v>2002</v>
      </c>
      <c r="D22">
        <v>24</v>
      </c>
      <c r="E22">
        <v>340</v>
      </c>
      <c r="F22">
        <v>151</v>
      </c>
      <c r="G22" s="1">
        <v>2.2516556291390728</v>
      </c>
      <c r="H22" s="1">
        <v>14.166666666666666</v>
      </c>
      <c r="I22" s="1">
        <v>9.3818984547461362E-2</v>
      </c>
      <c r="J22" s="1">
        <v>6.291666666666667</v>
      </c>
      <c r="K22" s="1">
        <v>0.26623567808661114</v>
      </c>
      <c r="L22" s="1">
        <v>6.5860927152317883</v>
      </c>
    </row>
    <row r="23" spans="1:12" x14ac:dyDescent="0.3">
      <c r="A23" t="s">
        <v>61</v>
      </c>
      <c r="B23" t="s">
        <v>28</v>
      </c>
      <c r="C23">
        <v>2007</v>
      </c>
      <c r="D23">
        <v>19</v>
      </c>
      <c r="E23">
        <v>117</v>
      </c>
      <c r="F23">
        <v>34</v>
      </c>
      <c r="G23" s="1">
        <v>3.4411764705882355</v>
      </c>
      <c r="H23" s="1">
        <v>6.1578947368421053</v>
      </c>
      <c r="I23" s="1">
        <v>0.18111455108359134</v>
      </c>
      <c r="J23" s="1">
        <v>1.7894736842105263</v>
      </c>
      <c r="K23" s="1">
        <v>0.11572597276582108</v>
      </c>
      <c r="L23" s="1">
        <v>3.8758513931888547</v>
      </c>
    </row>
    <row r="24" spans="1:12" x14ac:dyDescent="0.3">
      <c r="A24" t="s">
        <v>61</v>
      </c>
      <c r="B24" t="s">
        <v>29</v>
      </c>
      <c r="C24">
        <v>2009</v>
      </c>
      <c r="D24">
        <v>17</v>
      </c>
      <c r="E24">
        <v>76</v>
      </c>
      <c r="F24">
        <v>32</v>
      </c>
      <c r="G24" s="1">
        <v>2.375</v>
      </c>
      <c r="H24" s="1">
        <v>4.4705882352941178</v>
      </c>
      <c r="I24" s="1">
        <v>0.13970588235294118</v>
      </c>
      <c r="J24" s="1">
        <v>1.8823529411764706</v>
      </c>
      <c r="K24" s="1">
        <v>8.4016241666086289E-2</v>
      </c>
      <c r="L24" s="1">
        <v>2.7661764705882352</v>
      </c>
    </row>
    <row r="25" spans="1:12" x14ac:dyDescent="0.3">
      <c r="A25" t="s">
        <v>61</v>
      </c>
      <c r="B25" t="s">
        <v>30</v>
      </c>
      <c r="C25">
        <v>2021</v>
      </c>
      <c r="D25">
        <v>5</v>
      </c>
      <c r="E25">
        <v>60</v>
      </c>
      <c r="F25">
        <v>24</v>
      </c>
      <c r="G25" s="1">
        <v>2.5</v>
      </c>
      <c r="H25" s="1">
        <v>12</v>
      </c>
      <c r="I25" s="1">
        <v>0.5</v>
      </c>
      <c r="J25" s="1">
        <v>4.8</v>
      </c>
      <c r="K25" s="1">
        <v>0.22551728026160006</v>
      </c>
      <c r="L25" s="1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1929-6DF4-47FA-BC8B-B54C9E090C84}">
  <dimension ref="A1:G4"/>
  <sheetViews>
    <sheetView tabSelected="1" topLeftCell="C4" workbookViewId="0">
      <selection activeCell="Q22" sqref="Q22"/>
    </sheetView>
  </sheetViews>
  <sheetFormatPr defaultRowHeight="14.4" x14ac:dyDescent="0.3"/>
  <cols>
    <col min="2" max="2" width="9.109375" bestFit="1" customWidth="1"/>
    <col min="3" max="3" width="10.5546875" bestFit="1" customWidth="1"/>
    <col min="4" max="4" width="9.109375" bestFit="1" customWidth="1"/>
  </cols>
  <sheetData>
    <row r="1" spans="1:7" x14ac:dyDescent="0.3">
      <c r="A1" t="s">
        <v>0</v>
      </c>
      <c r="B1" t="s">
        <v>84</v>
      </c>
      <c r="C1" t="s">
        <v>34</v>
      </c>
      <c r="D1" t="s">
        <v>35</v>
      </c>
      <c r="E1" t="s">
        <v>41</v>
      </c>
      <c r="F1" t="s">
        <v>43</v>
      </c>
      <c r="G1" t="s">
        <v>44</v>
      </c>
    </row>
    <row r="2" spans="1:7" x14ac:dyDescent="0.3">
      <c r="A2" t="s">
        <v>2</v>
      </c>
      <c r="B2">
        <v>7</v>
      </c>
      <c r="C2">
        <v>27970</v>
      </c>
      <c r="D2">
        <v>13454</v>
      </c>
      <c r="E2" s="1">
        <v>68.644774947234083</v>
      </c>
      <c r="F2" s="1">
        <v>3995.7142857142858</v>
      </c>
      <c r="G2" s="1">
        <v>2.078935632525643</v>
      </c>
    </row>
    <row r="3" spans="1:7" x14ac:dyDescent="0.3">
      <c r="A3" t="s">
        <v>11</v>
      </c>
      <c r="B3">
        <v>12</v>
      </c>
      <c r="C3">
        <v>11730</v>
      </c>
      <c r="D3">
        <v>5520</v>
      </c>
      <c r="E3" s="1">
        <v>28.788101899572965</v>
      </c>
      <c r="F3" s="1">
        <v>977.5</v>
      </c>
      <c r="G3" s="1">
        <v>2.125</v>
      </c>
    </row>
    <row r="4" spans="1:7" x14ac:dyDescent="0.3">
      <c r="A4" t="s">
        <v>25</v>
      </c>
      <c r="B4">
        <v>5</v>
      </c>
      <c r="C4">
        <v>1046</v>
      </c>
      <c r="D4">
        <v>505</v>
      </c>
      <c r="E4" s="1">
        <v>2.5671231531929513</v>
      </c>
      <c r="F4" s="1">
        <v>209.2</v>
      </c>
      <c r="G4" s="1">
        <v>2.0712871287128714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0339-07AD-48D2-93FA-7843FE94D271}">
  <dimension ref="A1:M29"/>
  <sheetViews>
    <sheetView workbookViewId="0">
      <selection activeCell="G1" sqref="G1:M2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33</v>
      </c>
      <c r="D1" t="s">
        <v>34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3">
      <c r="A2" t="s">
        <v>2</v>
      </c>
      <c r="B2" t="s">
        <v>3</v>
      </c>
      <c r="C2">
        <v>1970</v>
      </c>
      <c r="D2">
        <v>9534</v>
      </c>
      <c r="G2">
        <v>1</v>
      </c>
      <c r="H2" t="s">
        <v>3</v>
      </c>
      <c r="I2">
        <v>1970</v>
      </c>
      <c r="J2" t="s">
        <v>53</v>
      </c>
      <c r="K2" s="3">
        <v>9534</v>
      </c>
      <c r="L2">
        <v>1</v>
      </c>
      <c r="M2">
        <v>1</v>
      </c>
    </row>
    <row r="3" spans="1:13" x14ac:dyDescent="0.3">
      <c r="B3" t="s">
        <v>4</v>
      </c>
      <c r="C3">
        <v>1975</v>
      </c>
      <c r="D3">
        <v>6836</v>
      </c>
      <c r="G3">
        <v>2</v>
      </c>
      <c r="H3" t="s">
        <v>4</v>
      </c>
      <c r="I3">
        <v>1975</v>
      </c>
      <c r="J3" t="s">
        <v>53</v>
      </c>
      <c r="K3" s="3">
        <v>6836</v>
      </c>
      <c r="L3">
        <v>2</v>
      </c>
      <c r="M3">
        <v>2</v>
      </c>
    </row>
    <row r="4" spans="1:13" x14ac:dyDescent="0.3">
      <c r="B4" t="s">
        <v>5</v>
      </c>
      <c r="C4">
        <v>1975</v>
      </c>
      <c r="D4">
        <v>6497</v>
      </c>
      <c r="G4">
        <v>3</v>
      </c>
      <c r="H4" t="s">
        <v>54</v>
      </c>
      <c r="I4">
        <v>1975</v>
      </c>
      <c r="J4" t="s">
        <v>53</v>
      </c>
      <c r="K4" s="3">
        <v>6497</v>
      </c>
      <c r="L4">
        <v>3</v>
      </c>
      <c r="M4">
        <v>3</v>
      </c>
    </row>
    <row r="5" spans="1:13" x14ac:dyDescent="0.3">
      <c r="B5" t="s">
        <v>6</v>
      </c>
      <c r="C5">
        <v>1991</v>
      </c>
      <c r="D5">
        <v>3673</v>
      </c>
      <c r="G5">
        <v>4</v>
      </c>
      <c r="H5" t="s">
        <v>6</v>
      </c>
      <c r="I5">
        <v>1991</v>
      </c>
      <c r="J5" t="s">
        <v>53</v>
      </c>
      <c r="K5" s="3">
        <v>3673</v>
      </c>
      <c r="L5">
        <v>4</v>
      </c>
      <c r="M5">
        <v>4</v>
      </c>
    </row>
    <row r="6" spans="1:13" x14ac:dyDescent="0.3">
      <c r="B6" t="s">
        <v>7</v>
      </c>
      <c r="C6">
        <v>2007</v>
      </c>
      <c r="D6">
        <v>909</v>
      </c>
      <c r="G6">
        <v>5</v>
      </c>
      <c r="H6" t="s">
        <v>55</v>
      </c>
      <c r="I6">
        <v>1992</v>
      </c>
      <c r="J6" t="s">
        <v>56</v>
      </c>
      <c r="K6" s="3">
        <v>3437</v>
      </c>
      <c r="L6">
        <v>5</v>
      </c>
      <c r="M6">
        <v>1</v>
      </c>
    </row>
    <row r="7" spans="1:13" x14ac:dyDescent="0.3">
      <c r="B7" t="s">
        <v>8</v>
      </c>
      <c r="C7">
        <v>2011</v>
      </c>
      <c r="D7">
        <v>489</v>
      </c>
      <c r="G7">
        <v>6</v>
      </c>
      <c r="H7" t="s">
        <v>13</v>
      </c>
      <c r="I7">
        <v>1979</v>
      </c>
      <c r="J7" t="s">
        <v>56</v>
      </c>
      <c r="K7" s="3">
        <v>2279</v>
      </c>
      <c r="L7">
        <v>6</v>
      </c>
      <c r="M7">
        <v>2</v>
      </c>
    </row>
    <row r="8" spans="1:13" x14ac:dyDescent="0.3">
      <c r="B8" t="s">
        <v>9</v>
      </c>
      <c r="C8">
        <v>2023</v>
      </c>
      <c r="D8">
        <v>32</v>
      </c>
      <c r="G8">
        <v>7</v>
      </c>
      <c r="H8" t="s">
        <v>14</v>
      </c>
      <c r="I8">
        <v>1981</v>
      </c>
      <c r="J8" t="s">
        <v>56</v>
      </c>
      <c r="K8" s="3">
        <v>1319</v>
      </c>
      <c r="L8">
        <v>7</v>
      </c>
      <c r="M8">
        <v>3</v>
      </c>
    </row>
    <row r="9" spans="1:13" x14ac:dyDescent="0.3">
      <c r="B9" t="s">
        <v>10</v>
      </c>
      <c r="D9">
        <v>27970</v>
      </c>
      <c r="G9">
        <v>8</v>
      </c>
      <c r="H9" t="s">
        <v>57</v>
      </c>
      <c r="I9">
        <v>2000</v>
      </c>
      <c r="J9" t="s">
        <v>56</v>
      </c>
      <c r="K9" s="3">
        <v>1257</v>
      </c>
      <c r="L9">
        <v>8</v>
      </c>
      <c r="M9">
        <v>4</v>
      </c>
    </row>
    <row r="10" spans="1:13" x14ac:dyDescent="0.3">
      <c r="A10" t="s">
        <v>11</v>
      </c>
      <c r="B10" t="s">
        <v>12</v>
      </c>
      <c r="C10">
        <v>1992</v>
      </c>
      <c r="D10">
        <v>3437</v>
      </c>
      <c r="G10">
        <v>9</v>
      </c>
      <c r="H10" t="s">
        <v>58</v>
      </c>
      <c r="I10">
        <v>2007</v>
      </c>
      <c r="J10" t="s">
        <v>53</v>
      </c>
      <c r="K10">
        <v>909</v>
      </c>
      <c r="L10">
        <v>9</v>
      </c>
      <c r="M10">
        <v>5</v>
      </c>
    </row>
    <row r="11" spans="1:13" x14ac:dyDescent="0.3">
      <c r="B11" t="s">
        <v>13</v>
      </c>
      <c r="C11">
        <v>1979</v>
      </c>
      <c r="D11">
        <v>2279</v>
      </c>
      <c r="G11">
        <v>10</v>
      </c>
      <c r="H11" t="s">
        <v>16</v>
      </c>
      <c r="I11">
        <v>2010</v>
      </c>
      <c r="J11" t="s">
        <v>56</v>
      </c>
      <c r="K11">
        <v>828</v>
      </c>
      <c r="L11">
        <v>10</v>
      </c>
      <c r="M11">
        <v>5</v>
      </c>
    </row>
    <row r="12" spans="1:13" x14ac:dyDescent="0.3">
      <c r="B12" t="s">
        <v>14</v>
      </c>
      <c r="C12">
        <v>1981</v>
      </c>
      <c r="D12">
        <v>1319</v>
      </c>
      <c r="G12">
        <v>11</v>
      </c>
      <c r="H12" t="s">
        <v>17</v>
      </c>
      <c r="I12">
        <v>2004</v>
      </c>
      <c r="J12" t="s">
        <v>56</v>
      </c>
      <c r="K12">
        <v>726</v>
      </c>
      <c r="L12">
        <v>11</v>
      </c>
      <c r="M12">
        <v>6</v>
      </c>
    </row>
    <row r="13" spans="1:13" x14ac:dyDescent="0.3">
      <c r="B13" t="s">
        <v>15</v>
      </c>
      <c r="C13">
        <v>2000</v>
      </c>
      <c r="D13">
        <v>1257</v>
      </c>
      <c r="G13">
        <v>12</v>
      </c>
      <c r="H13" t="s">
        <v>8</v>
      </c>
      <c r="I13">
        <v>2011</v>
      </c>
      <c r="J13" t="s">
        <v>53</v>
      </c>
      <c r="K13">
        <v>489</v>
      </c>
      <c r="L13">
        <v>12</v>
      </c>
      <c r="M13">
        <v>6</v>
      </c>
    </row>
    <row r="14" spans="1:13" x14ac:dyDescent="0.3">
      <c r="B14" t="s">
        <v>16</v>
      </c>
      <c r="C14">
        <v>2010</v>
      </c>
      <c r="D14">
        <v>828</v>
      </c>
      <c r="G14">
        <v>13</v>
      </c>
      <c r="H14" t="s">
        <v>19</v>
      </c>
      <c r="I14">
        <v>2016</v>
      </c>
      <c r="J14" t="s">
        <v>56</v>
      </c>
      <c r="K14">
        <v>484</v>
      </c>
      <c r="L14">
        <v>13</v>
      </c>
      <c r="M14">
        <v>7</v>
      </c>
    </row>
    <row r="15" spans="1:13" x14ac:dyDescent="0.3">
      <c r="B15" t="s">
        <v>17</v>
      </c>
      <c r="C15">
        <v>2004</v>
      </c>
      <c r="D15">
        <v>726</v>
      </c>
      <c r="G15">
        <v>14</v>
      </c>
      <c r="H15" t="s">
        <v>59</v>
      </c>
      <c r="I15">
        <v>2021</v>
      </c>
      <c r="J15" t="s">
        <v>56</v>
      </c>
      <c r="K15">
        <v>429</v>
      </c>
      <c r="L15">
        <v>14</v>
      </c>
      <c r="M15">
        <v>8</v>
      </c>
    </row>
    <row r="16" spans="1:13" x14ac:dyDescent="0.3">
      <c r="B16" t="s">
        <v>18</v>
      </c>
      <c r="C16">
        <v>2010</v>
      </c>
      <c r="D16">
        <v>206</v>
      </c>
      <c r="G16">
        <v>15</v>
      </c>
      <c r="H16" t="s">
        <v>60</v>
      </c>
      <c r="I16">
        <v>1999</v>
      </c>
      <c r="J16" t="s">
        <v>61</v>
      </c>
      <c r="K16">
        <v>453</v>
      </c>
      <c r="L16">
        <v>15</v>
      </c>
      <c r="M16">
        <v>1</v>
      </c>
    </row>
    <row r="17" spans="1:13" x14ac:dyDescent="0.3">
      <c r="B17" t="s">
        <v>19</v>
      </c>
      <c r="C17">
        <v>2016</v>
      </c>
      <c r="D17">
        <v>484</v>
      </c>
      <c r="G17">
        <v>16</v>
      </c>
      <c r="H17" t="s">
        <v>20</v>
      </c>
      <c r="I17">
        <v>2019</v>
      </c>
      <c r="J17" t="s">
        <v>56</v>
      </c>
      <c r="K17">
        <v>285</v>
      </c>
      <c r="L17">
        <v>16</v>
      </c>
      <c r="M17">
        <v>9</v>
      </c>
    </row>
    <row r="18" spans="1:13" x14ac:dyDescent="0.3">
      <c r="B18" t="s">
        <v>20</v>
      </c>
      <c r="C18">
        <v>2019</v>
      </c>
      <c r="D18">
        <v>285</v>
      </c>
      <c r="G18">
        <v>17</v>
      </c>
      <c r="H18" t="s">
        <v>23</v>
      </c>
      <c r="I18">
        <v>2021</v>
      </c>
      <c r="J18" t="s">
        <v>56</v>
      </c>
      <c r="K18">
        <v>247</v>
      </c>
      <c r="L18">
        <v>17</v>
      </c>
      <c r="M18">
        <v>10</v>
      </c>
    </row>
    <row r="19" spans="1:13" x14ac:dyDescent="0.3">
      <c r="B19" t="s">
        <v>21</v>
      </c>
      <c r="C19">
        <v>2021</v>
      </c>
      <c r="D19">
        <v>429</v>
      </c>
      <c r="G19">
        <v>18</v>
      </c>
      <c r="H19" t="s">
        <v>22</v>
      </c>
      <c r="I19">
        <v>2021</v>
      </c>
      <c r="J19" t="s">
        <v>56</v>
      </c>
      <c r="K19">
        <v>233</v>
      </c>
      <c r="L19">
        <v>18</v>
      </c>
      <c r="M19">
        <v>11</v>
      </c>
    </row>
    <row r="20" spans="1:13" x14ac:dyDescent="0.3">
      <c r="B20" t="s">
        <v>22</v>
      </c>
      <c r="C20">
        <v>2021</v>
      </c>
      <c r="D20">
        <v>233</v>
      </c>
      <c r="G20">
        <v>19</v>
      </c>
      <c r="H20" t="s">
        <v>18</v>
      </c>
      <c r="I20">
        <v>2010</v>
      </c>
      <c r="J20" t="s">
        <v>56</v>
      </c>
      <c r="K20">
        <v>206</v>
      </c>
      <c r="L20">
        <v>19</v>
      </c>
      <c r="M20">
        <v>12</v>
      </c>
    </row>
    <row r="21" spans="1:13" x14ac:dyDescent="0.3">
      <c r="B21" t="s">
        <v>23</v>
      </c>
      <c r="C21">
        <v>2021</v>
      </c>
      <c r="D21">
        <v>247</v>
      </c>
      <c r="G21">
        <v>20</v>
      </c>
      <c r="H21" t="s">
        <v>27</v>
      </c>
      <c r="I21">
        <v>2002</v>
      </c>
      <c r="J21" t="s">
        <v>61</v>
      </c>
      <c r="K21">
        <v>340</v>
      </c>
      <c r="L21">
        <v>20</v>
      </c>
      <c r="M21">
        <v>2</v>
      </c>
    </row>
    <row r="22" spans="1:13" x14ac:dyDescent="0.3">
      <c r="B22" t="s">
        <v>24</v>
      </c>
      <c r="D22">
        <v>11730</v>
      </c>
      <c r="G22">
        <v>21</v>
      </c>
      <c r="H22" t="s">
        <v>28</v>
      </c>
      <c r="I22">
        <v>2007</v>
      </c>
      <c r="J22" t="s">
        <v>61</v>
      </c>
      <c r="K22">
        <v>117</v>
      </c>
      <c r="L22">
        <v>21</v>
      </c>
      <c r="M22">
        <v>3</v>
      </c>
    </row>
    <row r="23" spans="1:13" x14ac:dyDescent="0.3">
      <c r="A23" t="s">
        <v>25</v>
      </c>
      <c r="B23" t="s">
        <v>26</v>
      </c>
      <c r="C23">
        <v>1999</v>
      </c>
      <c r="D23">
        <v>453</v>
      </c>
      <c r="G23">
        <v>22</v>
      </c>
      <c r="H23" t="s">
        <v>29</v>
      </c>
      <c r="I23">
        <v>2009</v>
      </c>
      <c r="J23" t="s">
        <v>61</v>
      </c>
      <c r="K23">
        <v>76</v>
      </c>
      <c r="L23">
        <v>22</v>
      </c>
      <c r="M23">
        <v>4</v>
      </c>
    </row>
    <row r="24" spans="1:13" x14ac:dyDescent="0.3">
      <c r="B24" t="s">
        <v>27</v>
      </c>
      <c r="C24">
        <v>2002</v>
      </c>
      <c r="D24">
        <v>340</v>
      </c>
      <c r="G24">
        <v>23</v>
      </c>
      <c r="H24" t="s">
        <v>30</v>
      </c>
      <c r="I24">
        <v>2021</v>
      </c>
      <c r="J24" t="s">
        <v>61</v>
      </c>
      <c r="K24">
        <v>60</v>
      </c>
      <c r="L24">
        <v>23</v>
      </c>
      <c r="M24">
        <v>5</v>
      </c>
    </row>
    <row r="25" spans="1:13" x14ac:dyDescent="0.3">
      <c r="B25" t="s">
        <v>28</v>
      </c>
      <c r="C25">
        <v>2007</v>
      </c>
      <c r="D25">
        <v>117</v>
      </c>
      <c r="G25">
        <v>24</v>
      </c>
      <c r="H25" t="s">
        <v>62</v>
      </c>
      <c r="I25">
        <v>2023</v>
      </c>
      <c r="J25" t="s">
        <v>53</v>
      </c>
      <c r="K25">
        <v>32</v>
      </c>
      <c r="L25">
        <v>24</v>
      </c>
      <c r="M25">
        <v>7</v>
      </c>
    </row>
    <row r="26" spans="1:13" x14ac:dyDescent="0.3">
      <c r="B26" t="s">
        <v>29</v>
      </c>
      <c r="C26">
        <v>2009</v>
      </c>
      <c r="D26">
        <v>76</v>
      </c>
    </row>
    <row r="27" spans="1:13" x14ac:dyDescent="0.3">
      <c r="B27" t="s">
        <v>30</v>
      </c>
      <c r="C27">
        <v>2021</v>
      </c>
      <c r="D27">
        <v>60</v>
      </c>
    </row>
    <row r="28" spans="1:13" x14ac:dyDescent="0.3">
      <c r="B28" t="s">
        <v>31</v>
      </c>
      <c r="D28">
        <v>1046</v>
      </c>
    </row>
    <row r="29" spans="1:13" x14ac:dyDescent="0.3">
      <c r="B29" t="s">
        <v>32</v>
      </c>
      <c r="D29">
        <v>40746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965E-97FE-404C-8B1D-D62061D8D57A}">
  <dimension ref="A1:N29"/>
  <sheetViews>
    <sheetView workbookViewId="0">
      <selection activeCell="H1" sqref="H1:N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33</v>
      </c>
      <c r="D1" t="s">
        <v>35</v>
      </c>
      <c r="H1" t="s">
        <v>46</v>
      </c>
      <c r="I1" t="s">
        <v>47</v>
      </c>
      <c r="J1" t="s">
        <v>48</v>
      </c>
      <c r="K1" t="s">
        <v>49</v>
      </c>
      <c r="L1" t="s">
        <v>63</v>
      </c>
      <c r="M1" t="s">
        <v>51</v>
      </c>
      <c r="N1" t="s">
        <v>52</v>
      </c>
    </row>
    <row r="2" spans="1:14" x14ac:dyDescent="0.3">
      <c r="A2" t="s">
        <v>2</v>
      </c>
      <c r="B2" t="s">
        <v>3</v>
      </c>
      <c r="C2">
        <v>1970</v>
      </c>
      <c r="D2">
        <v>4321</v>
      </c>
      <c r="H2">
        <v>1</v>
      </c>
      <c r="I2" t="s">
        <v>3</v>
      </c>
      <c r="J2">
        <v>1970</v>
      </c>
      <c r="K2" t="s">
        <v>53</v>
      </c>
      <c r="L2" s="3">
        <v>4321</v>
      </c>
      <c r="M2">
        <v>1</v>
      </c>
      <c r="N2">
        <v>1</v>
      </c>
    </row>
    <row r="3" spans="1:14" x14ac:dyDescent="0.3">
      <c r="B3" t="s">
        <v>4</v>
      </c>
      <c r="C3">
        <v>1975</v>
      </c>
      <c r="D3">
        <v>3790</v>
      </c>
      <c r="H3">
        <v>2</v>
      </c>
      <c r="I3" t="s">
        <v>4</v>
      </c>
      <c r="J3">
        <v>1975</v>
      </c>
      <c r="K3" t="s">
        <v>53</v>
      </c>
      <c r="L3" s="3">
        <v>3790</v>
      </c>
      <c r="M3">
        <v>2</v>
      </c>
      <c r="N3">
        <v>2</v>
      </c>
    </row>
    <row r="4" spans="1:14" x14ac:dyDescent="0.3">
      <c r="B4" t="s">
        <v>5</v>
      </c>
      <c r="C4">
        <v>1975</v>
      </c>
      <c r="D4">
        <v>2962</v>
      </c>
      <c r="H4">
        <v>3</v>
      </c>
      <c r="I4" t="s">
        <v>54</v>
      </c>
      <c r="J4">
        <v>1975</v>
      </c>
      <c r="K4" t="s">
        <v>53</v>
      </c>
      <c r="L4" s="3">
        <v>2962</v>
      </c>
      <c r="M4">
        <v>3</v>
      </c>
      <c r="N4">
        <v>3</v>
      </c>
    </row>
    <row r="5" spans="1:14" x14ac:dyDescent="0.3">
      <c r="B5" t="s">
        <v>6</v>
      </c>
      <c r="C5">
        <v>1991</v>
      </c>
      <c r="D5">
        <v>1880</v>
      </c>
      <c r="H5">
        <v>4</v>
      </c>
      <c r="I5" t="s">
        <v>6</v>
      </c>
      <c r="J5">
        <v>1991</v>
      </c>
      <c r="K5" t="s">
        <v>53</v>
      </c>
      <c r="L5" s="3">
        <v>1880</v>
      </c>
      <c r="M5">
        <v>4</v>
      </c>
      <c r="N5">
        <v>4</v>
      </c>
    </row>
    <row r="6" spans="1:14" x14ac:dyDescent="0.3">
      <c r="B6" t="s">
        <v>7</v>
      </c>
      <c r="C6">
        <v>2007</v>
      </c>
      <c r="D6">
        <v>294</v>
      </c>
      <c r="H6">
        <v>5</v>
      </c>
      <c r="I6" t="s">
        <v>55</v>
      </c>
      <c r="J6">
        <v>1992</v>
      </c>
      <c r="K6" t="s">
        <v>56</v>
      </c>
      <c r="L6" s="3">
        <v>1838</v>
      </c>
      <c r="M6">
        <v>5</v>
      </c>
      <c r="N6">
        <v>1</v>
      </c>
    </row>
    <row r="7" spans="1:14" x14ac:dyDescent="0.3">
      <c r="B7" t="s">
        <v>8</v>
      </c>
      <c r="C7">
        <v>2011</v>
      </c>
      <c r="D7">
        <v>182</v>
      </c>
      <c r="H7">
        <v>6</v>
      </c>
      <c r="I7" t="s">
        <v>13</v>
      </c>
      <c r="J7">
        <v>1979</v>
      </c>
      <c r="K7" t="s">
        <v>56</v>
      </c>
      <c r="L7" s="3">
        <v>1060</v>
      </c>
      <c r="M7">
        <v>6</v>
      </c>
      <c r="N7">
        <v>2</v>
      </c>
    </row>
    <row r="8" spans="1:14" x14ac:dyDescent="0.3">
      <c r="B8" t="s">
        <v>9</v>
      </c>
      <c r="C8">
        <v>2023</v>
      </c>
      <c r="D8">
        <v>25</v>
      </c>
      <c r="H8">
        <v>7</v>
      </c>
      <c r="I8" t="s">
        <v>14</v>
      </c>
      <c r="J8">
        <v>1981</v>
      </c>
      <c r="K8" t="s">
        <v>56</v>
      </c>
      <c r="L8">
        <v>726</v>
      </c>
      <c r="M8">
        <v>7</v>
      </c>
      <c r="N8">
        <v>3</v>
      </c>
    </row>
    <row r="9" spans="1:14" x14ac:dyDescent="0.3">
      <c r="B9" t="s">
        <v>10</v>
      </c>
      <c r="D9">
        <v>13454</v>
      </c>
      <c r="H9">
        <v>8</v>
      </c>
      <c r="I9" t="s">
        <v>57</v>
      </c>
      <c r="J9">
        <v>2000</v>
      </c>
      <c r="K9" t="s">
        <v>56</v>
      </c>
      <c r="L9">
        <v>528</v>
      </c>
      <c r="M9">
        <v>8</v>
      </c>
      <c r="N9">
        <v>4</v>
      </c>
    </row>
    <row r="10" spans="1:14" x14ac:dyDescent="0.3">
      <c r="A10" t="s">
        <v>11</v>
      </c>
      <c r="B10" t="s">
        <v>12</v>
      </c>
      <c r="C10">
        <v>1992</v>
      </c>
      <c r="D10">
        <v>1838</v>
      </c>
      <c r="H10">
        <v>9</v>
      </c>
      <c r="I10" t="s">
        <v>16</v>
      </c>
      <c r="J10">
        <v>2010</v>
      </c>
      <c r="K10" t="s">
        <v>56</v>
      </c>
      <c r="L10">
        <v>302</v>
      </c>
      <c r="M10">
        <v>9</v>
      </c>
      <c r="N10">
        <v>5</v>
      </c>
    </row>
    <row r="11" spans="1:14" x14ac:dyDescent="0.3">
      <c r="B11" t="s">
        <v>13</v>
      </c>
      <c r="C11">
        <v>1979</v>
      </c>
      <c r="D11">
        <v>1060</v>
      </c>
      <c r="H11">
        <v>10</v>
      </c>
      <c r="I11" t="s">
        <v>58</v>
      </c>
      <c r="J11">
        <v>2007</v>
      </c>
      <c r="K11" t="s">
        <v>53</v>
      </c>
      <c r="L11">
        <v>294</v>
      </c>
      <c r="M11">
        <v>10</v>
      </c>
      <c r="N11">
        <v>5</v>
      </c>
    </row>
    <row r="12" spans="1:14" x14ac:dyDescent="0.3">
      <c r="B12" t="s">
        <v>14</v>
      </c>
      <c r="C12">
        <v>1981</v>
      </c>
      <c r="D12">
        <v>726</v>
      </c>
      <c r="H12">
        <v>11</v>
      </c>
      <c r="I12" t="s">
        <v>17</v>
      </c>
      <c r="J12">
        <v>2004</v>
      </c>
      <c r="K12" t="s">
        <v>56</v>
      </c>
      <c r="L12">
        <v>282</v>
      </c>
      <c r="M12">
        <v>11</v>
      </c>
      <c r="N12">
        <v>6</v>
      </c>
    </row>
    <row r="13" spans="1:14" x14ac:dyDescent="0.3">
      <c r="B13" t="s">
        <v>15</v>
      </c>
      <c r="C13">
        <v>2000</v>
      </c>
      <c r="D13">
        <v>528</v>
      </c>
      <c r="H13">
        <v>12</v>
      </c>
      <c r="I13" t="s">
        <v>60</v>
      </c>
      <c r="J13">
        <v>1999</v>
      </c>
      <c r="K13" t="s">
        <v>61</v>
      </c>
      <c r="L13">
        <v>264</v>
      </c>
      <c r="M13">
        <v>12</v>
      </c>
      <c r="N13">
        <v>1</v>
      </c>
    </row>
    <row r="14" spans="1:14" x14ac:dyDescent="0.3">
      <c r="B14" t="s">
        <v>16</v>
      </c>
      <c r="C14">
        <v>2010</v>
      </c>
      <c r="D14">
        <v>302</v>
      </c>
      <c r="H14">
        <v>13</v>
      </c>
      <c r="I14" t="s">
        <v>59</v>
      </c>
      <c r="J14">
        <v>2021</v>
      </c>
      <c r="K14" t="s">
        <v>56</v>
      </c>
      <c r="L14">
        <v>245</v>
      </c>
      <c r="M14">
        <v>13</v>
      </c>
      <c r="N14">
        <v>7</v>
      </c>
    </row>
    <row r="15" spans="1:14" x14ac:dyDescent="0.3">
      <c r="B15" t="s">
        <v>17</v>
      </c>
      <c r="C15">
        <v>2004</v>
      </c>
      <c r="D15">
        <v>282</v>
      </c>
      <c r="H15">
        <v>14</v>
      </c>
      <c r="I15" t="s">
        <v>8</v>
      </c>
      <c r="J15">
        <v>2011</v>
      </c>
      <c r="K15" t="s">
        <v>53</v>
      </c>
      <c r="L15">
        <v>182</v>
      </c>
      <c r="M15">
        <v>14</v>
      </c>
      <c r="N15">
        <v>6</v>
      </c>
    </row>
    <row r="16" spans="1:14" x14ac:dyDescent="0.3">
      <c r="B16" t="s">
        <v>18</v>
      </c>
      <c r="C16">
        <v>2010</v>
      </c>
      <c r="D16">
        <v>136</v>
      </c>
      <c r="H16">
        <v>15</v>
      </c>
      <c r="I16" t="s">
        <v>27</v>
      </c>
      <c r="J16">
        <v>2002</v>
      </c>
      <c r="K16" t="s">
        <v>61</v>
      </c>
      <c r="L16">
        <v>151</v>
      </c>
      <c r="M16">
        <v>15</v>
      </c>
      <c r="N16">
        <v>2</v>
      </c>
    </row>
    <row r="17" spans="1:14" x14ac:dyDescent="0.3">
      <c r="B17" t="s">
        <v>19</v>
      </c>
      <c r="C17">
        <v>2016</v>
      </c>
      <c r="D17">
        <v>63</v>
      </c>
      <c r="H17">
        <v>16</v>
      </c>
      <c r="I17" t="s">
        <v>22</v>
      </c>
      <c r="J17">
        <v>2021</v>
      </c>
      <c r="K17" t="s">
        <v>56</v>
      </c>
      <c r="L17">
        <v>151</v>
      </c>
      <c r="M17">
        <v>15</v>
      </c>
      <c r="N17">
        <v>8</v>
      </c>
    </row>
    <row r="18" spans="1:14" x14ac:dyDescent="0.3">
      <c r="B18" t="s">
        <v>20</v>
      </c>
      <c r="C18">
        <v>2019</v>
      </c>
      <c r="D18">
        <v>48</v>
      </c>
      <c r="H18">
        <v>17</v>
      </c>
      <c r="I18" t="s">
        <v>23</v>
      </c>
      <c r="J18">
        <v>2021</v>
      </c>
      <c r="K18" t="s">
        <v>56</v>
      </c>
      <c r="L18">
        <v>141</v>
      </c>
      <c r="M18">
        <v>17</v>
      </c>
      <c r="N18">
        <v>9</v>
      </c>
    </row>
    <row r="19" spans="1:14" x14ac:dyDescent="0.3">
      <c r="B19" t="s">
        <v>21</v>
      </c>
      <c r="C19">
        <v>2021</v>
      </c>
      <c r="D19">
        <v>245</v>
      </c>
      <c r="H19">
        <v>18</v>
      </c>
      <c r="I19" t="s">
        <v>18</v>
      </c>
      <c r="J19">
        <v>2010</v>
      </c>
      <c r="K19" t="s">
        <v>56</v>
      </c>
      <c r="L19">
        <v>136</v>
      </c>
      <c r="M19">
        <v>18</v>
      </c>
      <c r="N19">
        <v>10</v>
      </c>
    </row>
    <row r="20" spans="1:14" x14ac:dyDescent="0.3">
      <c r="B20" t="s">
        <v>22</v>
      </c>
      <c r="C20">
        <v>2021</v>
      </c>
      <c r="D20">
        <v>151</v>
      </c>
      <c r="H20">
        <v>19</v>
      </c>
      <c r="I20" t="s">
        <v>19</v>
      </c>
      <c r="J20">
        <v>2016</v>
      </c>
      <c r="K20" t="s">
        <v>56</v>
      </c>
      <c r="L20">
        <v>63</v>
      </c>
      <c r="M20">
        <v>19</v>
      </c>
      <c r="N20">
        <v>11</v>
      </c>
    </row>
    <row r="21" spans="1:14" x14ac:dyDescent="0.3">
      <c r="B21" t="s">
        <v>23</v>
      </c>
      <c r="C21">
        <v>2021</v>
      </c>
      <c r="D21">
        <v>141</v>
      </c>
      <c r="H21">
        <v>20</v>
      </c>
      <c r="I21" t="s">
        <v>20</v>
      </c>
      <c r="J21">
        <v>2019</v>
      </c>
      <c r="K21" t="s">
        <v>56</v>
      </c>
      <c r="L21">
        <v>48</v>
      </c>
      <c r="M21">
        <v>20</v>
      </c>
      <c r="N21">
        <v>12</v>
      </c>
    </row>
    <row r="22" spans="1:14" x14ac:dyDescent="0.3">
      <c r="B22" t="s">
        <v>24</v>
      </c>
      <c r="D22">
        <v>5520</v>
      </c>
      <c r="H22">
        <v>21</v>
      </c>
      <c r="I22" t="s">
        <v>28</v>
      </c>
      <c r="J22">
        <v>2007</v>
      </c>
      <c r="K22" t="s">
        <v>61</v>
      </c>
      <c r="L22">
        <v>34</v>
      </c>
      <c r="M22">
        <v>21</v>
      </c>
      <c r="N22">
        <v>3</v>
      </c>
    </row>
    <row r="23" spans="1:14" x14ac:dyDescent="0.3">
      <c r="A23" t="s">
        <v>25</v>
      </c>
      <c r="B23" t="s">
        <v>26</v>
      </c>
      <c r="C23">
        <v>1999</v>
      </c>
      <c r="D23">
        <v>264</v>
      </c>
      <c r="H23">
        <v>22</v>
      </c>
      <c r="I23" t="s">
        <v>29</v>
      </c>
      <c r="J23">
        <v>2009</v>
      </c>
      <c r="K23" t="s">
        <v>61</v>
      </c>
      <c r="L23">
        <v>32</v>
      </c>
      <c r="M23">
        <v>22</v>
      </c>
      <c r="N23">
        <v>4</v>
      </c>
    </row>
    <row r="24" spans="1:14" x14ac:dyDescent="0.3">
      <c r="B24" t="s">
        <v>27</v>
      </c>
      <c r="C24">
        <v>2002</v>
      </c>
      <c r="D24">
        <v>151</v>
      </c>
      <c r="H24">
        <v>23</v>
      </c>
      <c r="I24" t="s">
        <v>62</v>
      </c>
      <c r="J24">
        <v>2023</v>
      </c>
      <c r="K24" t="s">
        <v>53</v>
      </c>
      <c r="L24">
        <v>25</v>
      </c>
      <c r="M24">
        <v>23</v>
      </c>
      <c r="N24">
        <v>7</v>
      </c>
    </row>
    <row r="25" spans="1:14" x14ac:dyDescent="0.3">
      <c r="B25" t="s">
        <v>28</v>
      </c>
      <c r="C25">
        <v>2007</v>
      </c>
      <c r="D25">
        <v>34</v>
      </c>
      <c r="H25">
        <v>24</v>
      </c>
      <c r="I25" t="s">
        <v>30</v>
      </c>
      <c r="J25">
        <v>2021</v>
      </c>
      <c r="K25" t="s">
        <v>61</v>
      </c>
      <c r="L25">
        <v>24</v>
      </c>
      <c r="M25">
        <v>24</v>
      </c>
      <c r="N25">
        <v>5</v>
      </c>
    </row>
    <row r="26" spans="1:14" x14ac:dyDescent="0.3">
      <c r="B26" t="s">
        <v>29</v>
      </c>
      <c r="C26">
        <v>2009</v>
      </c>
      <c r="D26">
        <v>32</v>
      </c>
    </row>
    <row r="27" spans="1:14" x14ac:dyDescent="0.3">
      <c r="B27" t="s">
        <v>30</v>
      </c>
      <c r="C27">
        <v>2021</v>
      </c>
      <c r="D27">
        <v>24</v>
      </c>
    </row>
    <row r="28" spans="1:14" x14ac:dyDescent="0.3">
      <c r="B28" t="s">
        <v>31</v>
      </c>
      <c r="D28">
        <v>505</v>
      </c>
    </row>
    <row r="29" spans="1:14" x14ac:dyDescent="0.3">
      <c r="B29" t="s">
        <v>32</v>
      </c>
      <c r="D29">
        <v>19479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045E-68E9-4AE4-915E-50B0596549F6}">
  <dimension ref="A1:P29"/>
  <sheetViews>
    <sheetView workbookViewId="0">
      <selection activeCell="I1" sqref="I1:P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34</v>
      </c>
      <c r="D1" t="s">
        <v>35</v>
      </c>
      <c r="E1" t="s">
        <v>37</v>
      </c>
      <c r="I1" t="s">
        <v>46</v>
      </c>
      <c r="J1" t="s">
        <v>47</v>
      </c>
      <c r="K1" t="s">
        <v>49</v>
      </c>
      <c r="L1" t="s">
        <v>34</v>
      </c>
      <c r="M1" t="s">
        <v>35</v>
      </c>
      <c r="N1" t="s">
        <v>64</v>
      </c>
      <c r="O1" t="s">
        <v>51</v>
      </c>
      <c r="P1" t="s">
        <v>52</v>
      </c>
    </row>
    <row r="2" spans="1:16" x14ac:dyDescent="0.3">
      <c r="A2" t="s">
        <v>2</v>
      </c>
      <c r="B2" t="s">
        <v>3</v>
      </c>
      <c r="C2">
        <v>9534</v>
      </c>
      <c r="D2">
        <v>4321</v>
      </c>
      <c r="E2">
        <v>2.2064336959037258</v>
      </c>
      <c r="I2">
        <v>1</v>
      </c>
      <c r="J2" t="s">
        <v>19</v>
      </c>
      <c r="K2" t="s">
        <v>56</v>
      </c>
      <c r="L2">
        <v>484</v>
      </c>
      <c r="M2">
        <v>63</v>
      </c>
      <c r="N2" s="1">
        <v>7.6829999999999998</v>
      </c>
      <c r="O2">
        <v>1</v>
      </c>
      <c r="P2">
        <v>1</v>
      </c>
    </row>
    <row r="3" spans="1:16" x14ac:dyDescent="0.3">
      <c r="B3" t="s">
        <v>4</v>
      </c>
      <c r="C3">
        <v>6836</v>
      </c>
      <c r="D3">
        <v>3790</v>
      </c>
      <c r="E3">
        <v>1.8036939313984168</v>
      </c>
      <c r="I3">
        <v>2</v>
      </c>
      <c r="J3" t="s">
        <v>20</v>
      </c>
      <c r="K3" t="s">
        <v>56</v>
      </c>
      <c r="L3">
        <v>285</v>
      </c>
      <c r="M3">
        <v>48</v>
      </c>
      <c r="N3" s="1">
        <v>5.9379999999999997</v>
      </c>
      <c r="O3">
        <v>2</v>
      </c>
      <c r="P3">
        <v>2</v>
      </c>
    </row>
    <row r="4" spans="1:16" x14ac:dyDescent="0.3">
      <c r="B4" t="s">
        <v>5</v>
      </c>
      <c r="C4">
        <v>6497</v>
      </c>
      <c r="D4">
        <v>2962</v>
      </c>
      <c r="E4">
        <v>2.1934503713706954</v>
      </c>
      <c r="I4">
        <v>3</v>
      </c>
      <c r="J4" t="s">
        <v>28</v>
      </c>
      <c r="K4" t="s">
        <v>61</v>
      </c>
      <c r="L4">
        <v>117</v>
      </c>
      <c r="M4">
        <v>34</v>
      </c>
      <c r="N4" s="1">
        <v>3.4409999999999998</v>
      </c>
      <c r="O4">
        <v>3</v>
      </c>
      <c r="P4">
        <v>1</v>
      </c>
    </row>
    <row r="5" spans="1:16" x14ac:dyDescent="0.3">
      <c r="B5" t="s">
        <v>6</v>
      </c>
      <c r="C5">
        <v>3673</v>
      </c>
      <c r="D5">
        <v>1880</v>
      </c>
      <c r="E5">
        <v>1.9537234042553191</v>
      </c>
      <c r="I5">
        <v>4</v>
      </c>
      <c r="J5" t="s">
        <v>7</v>
      </c>
      <c r="K5" t="s">
        <v>53</v>
      </c>
      <c r="L5">
        <v>909</v>
      </c>
      <c r="M5">
        <v>294</v>
      </c>
      <c r="N5" s="1">
        <v>3.0920000000000001</v>
      </c>
      <c r="O5">
        <v>4</v>
      </c>
      <c r="P5">
        <v>1</v>
      </c>
    </row>
    <row r="6" spans="1:16" x14ac:dyDescent="0.3">
      <c r="B6" t="s">
        <v>7</v>
      </c>
      <c r="C6">
        <v>909</v>
      </c>
      <c r="D6">
        <v>294</v>
      </c>
      <c r="E6">
        <v>3.0918367346938775</v>
      </c>
      <c r="I6">
        <v>5</v>
      </c>
      <c r="J6" t="s">
        <v>16</v>
      </c>
      <c r="K6" t="s">
        <v>56</v>
      </c>
      <c r="L6">
        <v>828</v>
      </c>
      <c r="M6">
        <v>302</v>
      </c>
      <c r="N6" s="1">
        <v>2.742</v>
      </c>
      <c r="O6">
        <v>5</v>
      </c>
      <c r="P6">
        <v>3</v>
      </c>
    </row>
    <row r="7" spans="1:16" x14ac:dyDescent="0.3">
      <c r="B7" t="s">
        <v>8</v>
      </c>
      <c r="C7">
        <v>489</v>
      </c>
      <c r="D7">
        <v>182</v>
      </c>
      <c r="E7">
        <v>2.6868131868131866</v>
      </c>
      <c r="I7">
        <v>6</v>
      </c>
      <c r="J7" t="s">
        <v>8</v>
      </c>
      <c r="K7" t="s">
        <v>53</v>
      </c>
      <c r="L7">
        <v>489</v>
      </c>
      <c r="M7">
        <v>182</v>
      </c>
      <c r="N7" s="1">
        <v>2.6869999999999998</v>
      </c>
      <c r="O7">
        <v>6</v>
      </c>
      <c r="P7">
        <v>2</v>
      </c>
    </row>
    <row r="8" spans="1:16" x14ac:dyDescent="0.3">
      <c r="B8" t="s">
        <v>9</v>
      </c>
      <c r="C8">
        <v>32</v>
      </c>
      <c r="D8">
        <v>25</v>
      </c>
      <c r="E8">
        <v>1.28</v>
      </c>
      <c r="I8">
        <v>7</v>
      </c>
      <c r="J8" t="s">
        <v>17</v>
      </c>
      <c r="K8" t="s">
        <v>56</v>
      </c>
      <c r="L8">
        <v>726</v>
      </c>
      <c r="M8">
        <v>282</v>
      </c>
      <c r="N8" s="1">
        <v>2.5739999999999998</v>
      </c>
      <c r="O8">
        <v>7</v>
      </c>
      <c r="P8">
        <v>4</v>
      </c>
    </row>
    <row r="9" spans="1:16" x14ac:dyDescent="0.3">
      <c r="B9" t="s">
        <v>10</v>
      </c>
      <c r="C9">
        <v>27970</v>
      </c>
      <c r="D9">
        <v>13454</v>
      </c>
      <c r="I9">
        <v>8</v>
      </c>
      <c r="J9" t="s">
        <v>30</v>
      </c>
      <c r="K9" t="s">
        <v>61</v>
      </c>
      <c r="L9">
        <v>60</v>
      </c>
      <c r="M9">
        <v>24</v>
      </c>
      <c r="N9" s="1">
        <v>2.5</v>
      </c>
      <c r="O9">
        <v>8</v>
      </c>
      <c r="P9">
        <v>2</v>
      </c>
    </row>
    <row r="10" spans="1:16" x14ac:dyDescent="0.3">
      <c r="A10" t="s">
        <v>11</v>
      </c>
      <c r="B10" t="s">
        <v>12</v>
      </c>
      <c r="C10">
        <v>3437</v>
      </c>
      <c r="D10">
        <v>1838</v>
      </c>
      <c r="E10">
        <v>1.8699673558215451</v>
      </c>
      <c r="I10">
        <v>9</v>
      </c>
      <c r="J10" t="s">
        <v>15</v>
      </c>
      <c r="K10" t="s">
        <v>56</v>
      </c>
      <c r="L10" s="3">
        <v>1257</v>
      </c>
      <c r="M10">
        <v>528</v>
      </c>
      <c r="N10" s="1">
        <v>2.3809999999999998</v>
      </c>
      <c r="O10">
        <v>9</v>
      </c>
      <c r="P10">
        <v>5</v>
      </c>
    </row>
    <row r="11" spans="1:16" x14ac:dyDescent="0.3">
      <c r="B11" t="s">
        <v>13</v>
      </c>
      <c r="C11">
        <v>2279</v>
      </c>
      <c r="D11">
        <v>1060</v>
      </c>
      <c r="E11">
        <v>2.15</v>
      </c>
      <c r="I11">
        <v>10</v>
      </c>
      <c r="J11" t="s">
        <v>29</v>
      </c>
      <c r="K11" t="s">
        <v>61</v>
      </c>
      <c r="L11">
        <v>76</v>
      </c>
      <c r="M11">
        <v>32</v>
      </c>
      <c r="N11" s="1">
        <v>2.375</v>
      </c>
      <c r="O11">
        <v>10</v>
      </c>
      <c r="P11">
        <v>3</v>
      </c>
    </row>
    <row r="12" spans="1:16" x14ac:dyDescent="0.3">
      <c r="B12" t="s">
        <v>14</v>
      </c>
      <c r="C12">
        <v>1319</v>
      </c>
      <c r="D12">
        <v>726</v>
      </c>
      <c r="E12">
        <v>1.8168044077134986</v>
      </c>
      <c r="I12">
        <v>11</v>
      </c>
      <c r="J12" t="s">
        <v>27</v>
      </c>
      <c r="K12" t="s">
        <v>61</v>
      </c>
      <c r="L12">
        <v>340</v>
      </c>
      <c r="M12">
        <v>151</v>
      </c>
      <c r="N12" s="1">
        <v>2.2519999999999998</v>
      </c>
      <c r="O12">
        <v>11</v>
      </c>
      <c r="P12">
        <v>4</v>
      </c>
    </row>
    <row r="13" spans="1:16" x14ac:dyDescent="0.3">
      <c r="B13" t="s">
        <v>15</v>
      </c>
      <c r="C13">
        <v>1257</v>
      </c>
      <c r="D13">
        <v>528</v>
      </c>
      <c r="E13">
        <v>2.3806818181818183</v>
      </c>
      <c r="I13">
        <v>12</v>
      </c>
      <c r="J13" t="s">
        <v>3</v>
      </c>
      <c r="K13" t="s">
        <v>53</v>
      </c>
      <c r="L13" s="3">
        <v>9534</v>
      </c>
      <c r="M13" s="3">
        <v>4321</v>
      </c>
      <c r="N13" s="1">
        <v>2.206</v>
      </c>
      <c r="O13">
        <v>12</v>
      </c>
      <c r="P13">
        <v>3</v>
      </c>
    </row>
    <row r="14" spans="1:16" x14ac:dyDescent="0.3">
      <c r="B14" t="s">
        <v>16</v>
      </c>
      <c r="C14">
        <v>828</v>
      </c>
      <c r="D14">
        <v>302</v>
      </c>
      <c r="E14">
        <v>2.7417218543046356</v>
      </c>
      <c r="I14">
        <v>13</v>
      </c>
      <c r="J14" t="s">
        <v>5</v>
      </c>
      <c r="K14" t="s">
        <v>53</v>
      </c>
      <c r="L14" s="3">
        <v>6497</v>
      </c>
      <c r="M14" s="3">
        <v>2962</v>
      </c>
      <c r="N14" s="1">
        <v>2.1930000000000001</v>
      </c>
      <c r="O14">
        <v>13</v>
      </c>
      <c r="P14">
        <v>4</v>
      </c>
    </row>
    <row r="15" spans="1:16" x14ac:dyDescent="0.3">
      <c r="B15" t="s">
        <v>17</v>
      </c>
      <c r="C15">
        <v>726</v>
      </c>
      <c r="D15">
        <v>282</v>
      </c>
      <c r="E15">
        <v>2.5744680851063828</v>
      </c>
      <c r="I15">
        <v>14</v>
      </c>
      <c r="J15" t="s">
        <v>13</v>
      </c>
      <c r="K15" t="s">
        <v>56</v>
      </c>
      <c r="L15" s="3">
        <v>2279</v>
      </c>
      <c r="M15" s="3">
        <v>1060</v>
      </c>
      <c r="N15" s="1">
        <v>2.15</v>
      </c>
      <c r="O15">
        <v>14</v>
      </c>
      <c r="P15">
        <v>6</v>
      </c>
    </row>
    <row r="16" spans="1:16" x14ac:dyDescent="0.3">
      <c r="B16" t="s">
        <v>18</v>
      </c>
      <c r="C16">
        <v>206</v>
      </c>
      <c r="D16">
        <v>136</v>
      </c>
      <c r="E16">
        <v>1.5147058823529411</v>
      </c>
      <c r="I16">
        <v>15</v>
      </c>
      <c r="J16" t="s">
        <v>6</v>
      </c>
      <c r="K16" t="s">
        <v>53</v>
      </c>
      <c r="L16" s="3">
        <v>3673</v>
      </c>
      <c r="M16" s="3">
        <v>1880</v>
      </c>
      <c r="N16" s="1">
        <v>1.954</v>
      </c>
      <c r="O16">
        <v>15</v>
      </c>
      <c r="P16">
        <v>5</v>
      </c>
    </row>
    <row r="17" spans="1:16" x14ac:dyDescent="0.3">
      <c r="B17" t="s">
        <v>19</v>
      </c>
      <c r="C17">
        <v>484</v>
      </c>
      <c r="D17">
        <v>63</v>
      </c>
      <c r="E17">
        <v>7.6825396825396828</v>
      </c>
      <c r="I17">
        <v>16</v>
      </c>
      <c r="J17" t="s">
        <v>12</v>
      </c>
      <c r="K17" t="s">
        <v>56</v>
      </c>
      <c r="L17" s="3">
        <v>3437</v>
      </c>
      <c r="M17" s="3">
        <v>1838</v>
      </c>
      <c r="N17" s="1">
        <v>1.87</v>
      </c>
      <c r="O17">
        <v>16</v>
      </c>
      <c r="P17">
        <v>7</v>
      </c>
    </row>
    <row r="18" spans="1:16" x14ac:dyDescent="0.3">
      <c r="B18" t="s">
        <v>20</v>
      </c>
      <c r="C18">
        <v>285</v>
      </c>
      <c r="D18">
        <v>48</v>
      </c>
      <c r="E18">
        <v>5.9375</v>
      </c>
      <c r="I18">
        <v>17</v>
      </c>
      <c r="J18" t="s">
        <v>14</v>
      </c>
      <c r="K18" t="s">
        <v>56</v>
      </c>
      <c r="L18" s="3">
        <v>1319</v>
      </c>
      <c r="M18">
        <v>726</v>
      </c>
      <c r="N18" s="1">
        <v>1.8169999999999999</v>
      </c>
      <c r="O18">
        <v>17</v>
      </c>
      <c r="P18">
        <v>8</v>
      </c>
    </row>
    <row r="19" spans="1:16" x14ac:dyDescent="0.3">
      <c r="B19" t="s">
        <v>21</v>
      </c>
      <c r="C19">
        <v>429</v>
      </c>
      <c r="D19">
        <v>245</v>
      </c>
      <c r="E19">
        <v>1.7510204081632652</v>
      </c>
      <c r="I19">
        <v>18</v>
      </c>
      <c r="J19" t="s">
        <v>4</v>
      </c>
      <c r="K19" t="s">
        <v>53</v>
      </c>
      <c r="L19" s="3">
        <v>6836</v>
      </c>
      <c r="M19" s="3">
        <v>3790</v>
      </c>
      <c r="N19" s="1">
        <v>1.804</v>
      </c>
      <c r="O19">
        <v>18</v>
      </c>
      <c r="P19">
        <v>6</v>
      </c>
    </row>
    <row r="20" spans="1:16" x14ac:dyDescent="0.3">
      <c r="B20" t="s">
        <v>22</v>
      </c>
      <c r="C20">
        <v>233</v>
      </c>
      <c r="D20">
        <v>151</v>
      </c>
      <c r="E20">
        <v>1.5430463576158941</v>
      </c>
      <c r="I20">
        <v>19</v>
      </c>
      <c r="J20" t="s">
        <v>23</v>
      </c>
      <c r="K20" t="s">
        <v>56</v>
      </c>
      <c r="L20">
        <v>247</v>
      </c>
      <c r="M20">
        <v>141</v>
      </c>
      <c r="N20" s="1">
        <v>1.752</v>
      </c>
      <c r="O20">
        <v>19</v>
      </c>
      <c r="P20">
        <v>9</v>
      </c>
    </row>
    <row r="21" spans="1:16" x14ac:dyDescent="0.3">
      <c r="B21" t="s">
        <v>23</v>
      </c>
      <c r="C21">
        <v>247</v>
      </c>
      <c r="D21">
        <v>141</v>
      </c>
      <c r="E21">
        <v>1.75177304964539</v>
      </c>
      <c r="I21">
        <v>20</v>
      </c>
      <c r="J21" t="s">
        <v>21</v>
      </c>
      <c r="K21" t="s">
        <v>56</v>
      </c>
      <c r="L21">
        <v>429</v>
      </c>
      <c r="M21">
        <v>245</v>
      </c>
      <c r="N21" s="1">
        <v>1.7509999999999999</v>
      </c>
      <c r="O21">
        <v>20</v>
      </c>
      <c r="P21">
        <v>10</v>
      </c>
    </row>
    <row r="22" spans="1:16" x14ac:dyDescent="0.3">
      <c r="B22" t="s">
        <v>24</v>
      </c>
      <c r="C22">
        <v>11730</v>
      </c>
      <c r="D22">
        <v>5520</v>
      </c>
      <c r="I22">
        <v>21</v>
      </c>
      <c r="J22" t="s">
        <v>26</v>
      </c>
      <c r="K22" t="s">
        <v>61</v>
      </c>
      <c r="L22">
        <v>453</v>
      </c>
      <c r="M22">
        <v>264</v>
      </c>
      <c r="N22" s="1">
        <v>1.716</v>
      </c>
      <c r="O22">
        <v>21</v>
      </c>
      <c r="P22">
        <v>5</v>
      </c>
    </row>
    <row r="23" spans="1:16" x14ac:dyDescent="0.3">
      <c r="A23" t="s">
        <v>25</v>
      </c>
      <c r="B23" t="s">
        <v>26</v>
      </c>
      <c r="C23">
        <v>453</v>
      </c>
      <c r="D23">
        <v>264</v>
      </c>
      <c r="E23">
        <v>1.7159090909090908</v>
      </c>
      <c r="I23">
        <v>22</v>
      </c>
      <c r="J23" t="s">
        <v>22</v>
      </c>
      <c r="K23" t="s">
        <v>56</v>
      </c>
      <c r="L23">
        <v>233</v>
      </c>
      <c r="M23">
        <v>151</v>
      </c>
      <c r="N23" s="1">
        <v>1.5429999999999999</v>
      </c>
      <c r="O23">
        <v>22</v>
      </c>
      <c r="P23">
        <v>11</v>
      </c>
    </row>
    <row r="24" spans="1:16" x14ac:dyDescent="0.3">
      <c r="B24" t="s">
        <v>27</v>
      </c>
      <c r="C24">
        <v>340</v>
      </c>
      <c r="D24">
        <v>151</v>
      </c>
      <c r="E24">
        <v>2.2516556291390728</v>
      </c>
      <c r="I24">
        <v>23</v>
      </c>
      <c r="J24" t="s">
        <v>18</v>
      </c>
      <c r="K24" t="s">
        <v>56</v>
      </c>
      <c r="L24">
        <v>206</v>
      </c>
      <c r="M24">
        <v>136</v>
      </c>
      <c r="N24" s="1">
        <v>1.5149999999999999</v>
      </c>
      <c r="O24">
        <v>23</v>
      </c>
      <c r="P24">
        <v>12</v>
      </c>
    </row>
    <row r="25" spans="1:16" x14ac:dyDescent="0.3">
      <c r="B25" t="s">
        <v>28</v>
      </c>
      <c r="C25">
        <v>117</v>
      </c>
      <c r="D25">
        <v>34</v>
      </c>
      <c r="E25">
        <v>3.4411764705882355</v>
      </c>
      <c r="I25">
        <v>24</v>
      </c>
      <c r="J25" t="s">
        <v>9</v>
      </c>
      <c r="K25" t="s">
        <v>53</v>
      </c>
      <c r="L25">
        <v>32</v>
      </c>
      <c r="M25">
        <v>25</v>
      </c>
      <c r="N25" s="1">
        <v>1.28</v>
      </c>
      <c r="O25">
        <v>24</v>
      </c>
      <c r="P25">
        <v>7</v>
      </c>
    </row>
    <row r="26" spans="1:16" x14ac:dyDescent="0.3">
      <c r="B26" t="s">
        <v>29</v>
      </c>
      <c r="C26">
        <v>76</v>
      </c>
      <c r="D26">
        <v>32</v>
      </c>
      <c r="E26">
        <v>2.375</v>
      </c>
    </row>
    <row r="27" spans="1:16" x14ac:dyDescent="0.3">
      <c r="B27" t="s">
        <v>30</v>
      </c>
      <c r="C27">
        <v>60</v>
      </c>
      <c r="D27">
        <v>24</v>
      </c>
      <c r="E27">
        <v>2.5</v>
      </c>
    </row>
    <row r="28" spans="1:16" x14ac:dyDescent="0.3">
      <c r="B28" t="s">
        <v>31</v>
      </c>
      <c r="C28">
        <v>1046</v>
      </c>
      <c r="D28">
        <v>505</v>
      </c>
    </row>
    <row r="29" spans="1:16" x14ac:dyDescent="0.3">
      <c r="B29" t="s">
        <v>32</v>
      </c>
      <c r="C29">
        <v>40746</v>
      </c>
      <c r="D29">
        <v>19479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49F2-2415-4F65-AA7C-428772A3DC34}">
  <dimension ref="A1:R31"/>
  <sheetViews>
    <sheetView workbookViewId="0">
      <selection activeCell="J1" sqref="J1:R2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33</v>
      </c>
      <c r="D1" t="s">
        <v>36</v>
      </c>
      <c r="E1" t="s">
        <v>34</v>
      </c>
      <c r="F1" t="s">
        <v>38</v>
      </c>
      <c r="J1" t="s">
        <v>46</v>
      </c>
      <c r="K1" t="s">
        <v>47</v>
      </c>
      <c r="L1" t="s">
        <v>48</v>
      </c>
      <c r="M1" t="s">
        <v>36</v>
      </c>
      <c r="N1" t="s">
        <v>49</v>
      </c>
      <c r="O1" t="s">
        <v>34</v>
      </c>
      <c r="P1" t="s">
        <v>65</v>
      </c>
      <c r="Q1" t="s">
        <v>51</v>
      </c>
      <c r="R1" t="s">
        <v>52</v>
      </c>
    </row>
    <row r="2" spans="1:18" x14ac:dyDescent="0.3">
      <c r="A2" t="s">
        <v>2</v>
      </c>
      <c r="B2" t="s">
        <v>3</v>
      </c>
      <c r="C2">
        <v>1970</v>
      </c>
      <c r="D2">
        <v>56</v>
      </c>
      <c r="E2">
        <v>9534</v>
      </c>
      <c r="F2">
        <v>170.25</v>
      </c>
      <c r="J2">
        <v>1</v>
      </c>
      <c r="K2" t="s">
        <v>3</v>
      </c>
      <c r="L2">
        <v>1970</v>
      </c>
      <c r="M2">
        <v>56</v>
      </c>
      <c r="N2" t="s">
        <v>53</v>
      </c>
      <c r="O2" s="3">
        <v>9534</v>
      </c>
      <c r="P2">
        <v>170.25</v>
      </c>
      <c r="Q2">
        <v>1</v>
      </c>
      <c r="R2">
        <v>1</v>
      </c>
    </row>
    <row r="3" spans="1:18" x14ac:dyDescent="0.3">
      <c r="B3" t="s">
        <v>4</v>
      </c>
      <c r="C3">
        <v>1975</v>
      </c>
      <c r="D3">
        <v>51</v>
      </c>
      <c r="E3">
        <v>6836</v>
      </c>
      <c r="F3">
        <v>134.0392156862745</v>
      </c>
      <c r="J3">
        <v>2</v>
      </c>
      <c r="K3" t="s">
        <v>4</v>
      </c>
      <c r="L3">
        <v>1975</v>
      </c>
      <c r="M3">
        <v>51</v>
      </c>
      <c r="N3" t="s">
        <v>53</v>
      </c>
      <c r="O3" s="3">
        <v>6836</v>
      </c>
      <c r="P3">
        <v>134.04</v>
      </c>
      <c r="Q3">
        <v>2</v>
      </c>
      <c r="R3">
        <v>2</v>
      </c>
    </row>
    <row r="4" spans="1:18" x14ac:dyDescent="0.3">
      <c r="B4" t="s">
        <v>5</v>
      </c>
      <c r="C4">
        <v>1975</v>
      </c>
      <c r="D4">
        <v>51</v>
      </c>
      <c r="E4">
        <v>6497</v>
      </c>
      <c r="F4">
        <v>127.3921568627451</v>
      </c>
      <c r="J4">
        <v>3</v>
      </c>
      <c r="K4" t="s">
        <v>54</v>
      </c>
      <c r="L4">
        <v>1975</v>
      </c>
      <c r="M4">
        <v>51</v>
      </c>
      <c r="N4" t="s">
        <v>53</v>
      </c>
      <c r="O4" s="3">
        <v>6497</v>
      </c>
      <c r="P4">
        <v>127.39</v>
      </c>
      <c r="Q4">
        <v>3</v>
      </c>
      <c r="R4">
        <v>3</v>
      </c>
    </row>
    <row r="5" spans="1:18" x14ac:dyDescent="0.3">
      <c r="B5" t="s">
        <v>6</v>
      </c>
      <c r="C5">
        <v>1991</v>
      </c>
      <c r="D5">
        <v>35</v>
      </c>
      <c r="E5">
        <v>3673</v>
      </c>
      <c r="F5">
        <v>104.94285714285714</v>
      </c>
      <c r="J5">
        <v>4</v>
      </c>
      <c r="K5" t="s">
        <v>6</v>
      </c>
      <c r="L5">
        <v>1991</v>
      </c>
      <c r="M5">
        <v>35</v>
      </c>
      <c r="N5" t="s">
        <v>53</v>
      </c>
      <c r="O5" s="3">
        <v>3673</v>
      </c>
      <c r="P5">
        <v>104.94</v>
      </c>
      <c r="Q5">
        <v>4</v>
      </c>
      <c r="R5">
        <v>4</v>
      </c>
    </row>
    <row r="6" spans="1:18" x14ac:dyDescent="0.3">
      <c r="B6" t="s">
        <v>7</v>
      </c>
      <c r="C6">
        <v>2007</v>
      </c>
      <c r="D6">
        <v>19</v>
      </c>
      <c r="E6">
        <v>909</v>
      </c>
      <c r="F6">
        <v>47.842105263157897</v>
      </c>
      <c r="J6">
        <v>5</v>
      </c>
      <c r="K6" t="s">
        <v>55</v>
      </c>
      <c r="L6">
        <v>1992</v>
      </c>
      <c r="M6">
        <v>34</v>
      </c>
      <c r="N6" t="s">
        <v>56</v>
      </c>
      <c r="O6" s="3">
        <v>3437</v>
      </c>
      <c r="P6">
        <v>101.09</v>
      </c>
      <c r="Q6">
        <v>5</v>
      </c>
      <c r="R6">
        <v>1</v>
      </c>
    </row>
    <row r="7" spans="1:18" x14ac:dyDescent="0.3">
      <c r="B7" t="s">
        <v>8</v>
      </c>
      <c r="C7">
        <v>2011</v>
      </c>
      <c r="D7">
        <v>15</v>
      </c>
      <c r="E7">
        <v>489</v>
      </c>
      <c r="F7">
        <v>32.6</v>
      </c>
      <c r="J7">
        <v>6</v>
      </c>
      <c r="K7" t="s">
        <v>59</v>
      </c>
      <c r="L7">
        <v>2021</v>
      </c>
      <c r="M7">
        <v>5</v>
      </c>
      <c r="N7" t="s">
        <v>56</v>
      </c>
      <c r="O7">
        <v>429</v>
      </c>
      <c r="P7">
        <v>85.8</v>
      </c>
      <c r="Q7">
        <v>6</v>
      </c>
      <c r="R7">
        <v>2</v>
      </c>
    </row>
    <row r="8" spans="1:18" x14ac:dyDescent="0.3">
      <c r="B8" t="s">
        <v>9</v>
      </c>
      <c r="C8">
        <v>2023</v>
      </c>
      <c r="D8">
        <v>3</v>
      </c>
      <c r="E8">
        <v>32</v>
      </c>
      <c r="F8">
        <v>10.666666666666666</v>
      </c>
      <c r="J8">
        <v>7</v>
      </c>
      <c r="K8" t="s">
        <v>16</v>
      </c>
      <c r="L8">
        <v>2010</v>
      </c>
      <c r="M8">
        <v>16</v>
      </c>
      <c r="N8" t="s">
        <v>56</v>
      </c>
      <c r="O8">
        <v>828</v>
      </c>
      <c r="P8">
        <v>51.75</v>
      </c>
      <c r="Q8">
        <v>7</v>
      </c>
      <c r="R8">
        <v>3</v>
      </c>
    </row>
    <row r="9" spans="1:18" x14ac:dyDescent="0.3">
      <c r="B9" t="s">
        <v>10</v>
      </c>
      <c r="E9">
        <v>27970</v>
      </c>
      <c r="J9">
        <v>8</v>
      </c>
      <c r="K9" t="s">
        <v>23</v>
      </c>
      <c r="L9">
        <v>2021</v>
      </c>
      <c r="M9">
        <v>5</v>
      </c>
      <c r="N9" t="s">
        <v>56</v>
      </c>
      <c r="O9">
        <v>247</v>
      </c>
      <c r="P9">
        <v>49.4</v>
      </c>
      <c r="Q9">
        <v>8</v>
      </c>
      <c r="R9">
        <v>4</v>
      </c>
    </row>
    <row r="10" spans="1:18" x14ac:dyDescent="0.3">
      <c r="A10" t="s">
        <v>11</v>
      </c>
      <c r="B10" t="s">
        <v>12</v>
      </c>
      <c r="C10">
        <v>1992</v>
      </c>
      <c r="D10">
        <v>34</v>
      </c>
      <c r="E10">
        <v>3437</v>
      </c>
      <c r="F10">
        <v>101.08823529411765</v>
      </c>
      <c r="J10">
        <v>9</v>
      </c>
      <c r="K10" t="s">
        <v>13</v>
      </c>
      <c r="L10">
        <v>1979</v>
      </c>
      <c r="M10">
        <v>47</v>
      </c>
      <c r="N10" t="s">
        <v>56</v>
      </c>
      <c r="O10" s="3">
        <v>2279</v>
      </c>
      <c r="P10">
        <v>48.49</v>
      </c>
      <c r="Q10">
        <v>9</v>
      </c>
      <c r="R10">
        <v>5</v>
      </c>
    </row>
    <row r="11" spans="1:18" x14ac:dyDescent="0.3">
      <c r="B11" t="s">
        <v>13</v>
      </c>
      <c r="C11">
        <v>1979</v>
      </c>
      <c r="D11">
        <v>47</v>
      </c>
      <c r="E11">
        <v>2279</v>
      </c>
      <c r="F11">
        <v>48.48936170212766</v>
      </c>
      <c r="J11">
        <v>10</v>
      </c>
      <c r="K11" t="s">
        <v>19</v>
      </c>
      <c r="L11">
        <v>2016</v>
      </c>
      <c r="M11">
        <v>10</v>
      </c>
      <c r="N11" t="s">
        <v>56</v>
      </c>
      <c r="O11">
        <v>484</v>
      </c>
      <c r="P11">
        <v>48.4</v>
      </c>
      <c r="Q11">
        <v>10</v>
      </c>
      <c r="R11">
        <v>6</v>
      </c>
    </row>
    <row r="12" spans="1:18" x14ac:dyDescent="0.3">
      <c r="B12" t="s">
        <v>14</v>
      </c>
      <c r="C12">
        <v>1981</v>
      </c>
      <c r="D12">
        <v>45</v>
      </c>
      <c r="E12">
        <v>1319</v>
      </c>
      <c r="F12">
        <v>29.31111111111111</v>
      </c>
      <c r="J12">
        <v>11</v>
      </c>
      <c r="K12" t="s">
        <v>57</v>
      </c>
      <c r="L12">
        <v>2000</v>
      </c>
      <c r="M12">
        <v>26</v>
      </c>
      <c r="N12" t="s">
        <v>56</v>
      </c>
      <c r="O12" s="3">
        <v>1257</v>
      </c>
      <c r="P12">
        <v>48.35</v>
      </c>
      <c r="Q12">
        <v>11</v>
      </c>
      <c r="R12">
        <v>7</v>
      </c>
    </row>
    <row r="13" spans="1:18" x14ac:dyDescent="0.3">
      <c r="B13" t="s">
        <v>15</v>
      </c>
      <c r="C13">
        <v>2000</v>
      </c>
      <c r="D13">
        <v>26</v>
      </c>
      <c r="E13">
        <v>1257</v>
      </c>
      <c r="F13">
        <v>48.346153846153847</v>
      </c>
      <c r="J13">
        <v>12</v>
      </c>
      <c r="K13" t="s">
        <v>58</v>
      </c>
      <c r="L13">
        <v>2007</v>
      </c>
      <c r="M13">
        <v>19</v>
      </c>
      <c r="N13" t="s">
        <v>53</v>
      </c>
      <c r="O13">
        <v>909</v>
      </c>
      <c r="P13">
        <v>47.84</v>
      </c>
      <c r="Q13">
        <v>12</v>
      </c>
      <c r="R13">
        <v>5</v>
      </c>
    </row>
    <row r="14" spans="1:18" x14ac:dyDescent="0.3">
      <c r="B14" t="s">
        <v>16</v>
      </c>
      <c r="C14">
        <v>2010</v>
      </c>
      <c r="D14">
        <v>16</v>
      </c>
      <c r="E14">
        <v>828</v>
      </c>
      <c r="F14">
        <v>51.75</v>
      </c>
      <c r="J14">
        <v>13</v>
      </c>
      <c r="K14" t="s">
        <v>22</v>
      </c>
      <c r="L14">
        <v>2021</v>
      </c>
      <c r="M14">
        <v>5</v>
      </c>
      <c r="N14" t="s">
        <v>56</v>
      </c>
      <c r="O14">
        <v>233</v>
      </c>
      <c r="P14">
        <v>46.6</v>
      </c>
      <c r="Q14">
        <v>13</v>
      </c>
      <c r="R14">
        <v>8</v>
      </c>
    </row>
    <row r="15" spans="1:18" x14ac:dyDescent="0.3">
      <c r="B15" t="s">
        <v>17</v>
      </c>
      <c r="C15">
        <v>2004</v>
      </c>
      <c r="D15">
        <v>22</v>
      </c>
      <c r="E15">
        <v>726</v>
      </c>
      <c r="F15">
        <v>33</v>
      </c>
      <c r="J15">
        <v>14</v>
      </c>
      <c r="K15" t="s">
        <v>20</v>
      </c>
      <c r="L15">
        <v>2019</v>
      </c>
      <c r="M15">
        <v>7</v>
      </c>
      <c r="N15" t="s">
        <v>56</v>
      </c>
      <c r="O15">
        <v>285</v>
      </c>
      <c r="P15">
        <v>40.71</v>
      </c>
      <c r="Q15">
        <v>14</v>
      </c>
      <c r="R15">
        <v>9</v>
      </c>
    </row>
    <row r="16" spans="1:18" x14ac:dyDescent="0.3">
      <c r="B16" t="s">
        <v>18</v>
      </c>
      <c r="C16">
        <v>2010</v>
      </c>
      <c r="D16">
        <v>16</v>
      </c>
      <c r="E16">
        <v>206</v>
      </c>
      <c r="F16">
        <v>12.875</v>
      </c>
      <c r="J16">
        <v>15</v>
      </c>
      <c r="K16" t="s">
        <v>17</v>
      </c>
      <c r="L16">
        <v>2004</v>
      </c>
      <c r="M16">
        <v>22</v>
      </c>
      <c r="N16" t="s">
        <v>56</v>
      </c>
      <c r="O16">
        <v>726</v>
      </c>
      <c r="P16">
        <v>33</v>
      </c>
      <c r="Q16">
        <v>15</v>
      </c>
      <c r="R16">
        <v>10</v>
      </c>
    </row>
    <row r="17" spans="1:18" x14ac:dyDescent="0.3">
      <c r="B17" t="s">
        <v>19</v>
      </c>
      <c r="C17">
        <v>2016</v>
      </c>
      <c r="D17">
        <v>10</v>
      </c>
      <c r="E17">
        <v>484</v>
      </c>
      <c r="F17">
        <v>48.4</v>
      </c>
      <c r="J17">
        <v>16</v>
      </c>
      <c r="K17" t="s">
        <v>8</v>
      </c>
      <c r="L17">
        <v>2011</v>
      </c>
      <c r="M17">
        <v>15</v>
      </c>
      <c r="N17" t="s">
        <v>53</v>
      </c>
      <c r="O17">
        <v>489</v>
      </c>
      <c r="P17">
        <v>32.6</v>
      </c>
      <c r="Q17">
        <v>16</v>
      </c>
      <c r="R17">
        <v>6</v>
      </c>
    </row>
    <row r="18" spans="1:18" x14ac:dyDescent="0.3">
      <c r="B18" t="s">
        <v>20</v>
      </c>
      <c r="C18">
        <v>2019</v>
      </c>
      <c r="D18">
        <v>7</v>
      </c>
      <c r="E18">
        <v>285</v>
      </c>
      <c r="F18">
        <v>40.714285714285715</v>
      </c>
      <c r="J18">
        <v>17</v>
      </c>
      <c r="K18" t="s">
        <v>14</v>
      </c>
      <c r="L18">
        <v>1981</v>
      </c>
      <c r="M18">
        <v>45</v>
      </c>
      <c r="N18" t="s">
        <v>56</v>
      </c>
      <c r="O18" s="3">
        <v>1319</v>
      </c>
      <c r="P18">
        <v>29.31</v>
      </c>
      <c r="Q18">
        <v>17</v>
      </c>
      <c r="R18">
        <v>11</v>
      </c>
    </row>
    <row r="19" spans="1:18" x14ac:dyDescent="0.3">
      <c r="B19" t="s">
        <v>21</v>
      </c>
      <c r="C19">
        <v>2021</v>
      </c>
      <c r="D19">
        <v>5</v>
      </c>
      <c r="E19">
        <v>429</v>
      </c>
      <c r="F19">
        <v>85.8</v>
      </c>
      <c r="J19">
        <v>18</v>
      </c>
      <c r="K19" t="s">
        <v>60</v>
      </c>
      <c r="L19">
        <v>1999</v>
      </c>
      <c r="M19">
        <v>27</v>
      </c>
      <c r="N19" t="s">
        <v>61</v>
      </c>
      <c r="O19">
        <v>453</v>
      </c>
      <c r="P19">
        <v>16.78</v>
      </c>
      <c r="Q19">
        <v>18</v>
      </c>
      <c r="R19">
        <v>1</v>
      </c>
    </row>
    <row r="20" spans="1:18" x14ac:dyDescent="0.3">
      <c r="B20" t="s">
        <v>22</v>
      </c>
      <c r="C20">
        <v>2021</v>
      </c>
      <c r="D20">
        <v>5</v>
      </c>
      <c r="E20">
        <v>233</v>
      </c>
      <c r="F20">
        <v>46.6</v>
      </c>
      <c r="J20">
        <v>19</v>
      </c>
      <c r="K20" t="s">
        <v>27</v>
      </c>
      <c r="L20">
        <v>2002</v>
      </c>
      <c r="M20">
        <v>24</v>
      </c>
      <c r="N20" t="s">
        <v>61</v>
      </c>
      <c r="O20">
        <v>340</v>
      </c>
      <c r="P20">
        <v>14.17</v>
      </c>
      <c r="Q20">
        <v>19</v>
      </c>
      <c r="R20">
        <v>2</v>
      </c>
    </row>
    <row r="21" spans="1:18" x14ac:dyDescent="0.3">
      <c r="B21" t="s">
        <v>23</v>
      </c>
      <c r="C21">
        <v>2021</v>
      </c>
      <c r="D21">
        <v>5</v>
      </c>
      <c r="E21">
        <v>247</v>
      </c>
      <c r="F21">
        <v>49.4</v>
      </c>
      <c r="J21">
        <v>20</v>
      </c>
      <c r="K21" t="s">
        <v>18</v>
      </c>
      <c r="L21">
        <v>2010</v>
      </c>
      <c r="M21">
        <v>16</v>
      </c>
      <c r="N21" t="s">
        <v>56</v>
      </c>
      <c r="O21">
        <v>206</v>
      </c>
      <c r="P21">
        <v>12.88</v>
      </c>
      <c r="Q21">
        <v>20</v>
      </c>
      <c r="R21">
        <v>12</v>
      </c>
    </row>
    <row r="22" spans="1:18" x14ac:dyDescent="0.3">
      <c r="B22" t="s">
        <v>24</v>
      </c>
      <c r="E22">
        <v>11730</v>
      </c>
      <c r="J22">
        <v>21</v>
      </c>
      <c r="K22" t="s">
        <v>30</v>
      </c>
      <c r="L22">
        <v>2021</v>
      </c>
      <c r="M22">
        <v>5</v>
      </c>
      <c r="N22" t="s">
        <v>61</v>
      </c>
      <c r="O22">
        <v>60</v>
      </c>
      <c r="P22">
        <v>12</v>
      </c>
      <c r="Q22">
        <v>21</v>
      </c>
      <c r="R22">
        <v>3</v>
      </c>
    </row>
    <row r="23" spans="1:18" x14ac:dyDescent="0.3">
      <c r="A23" t="s">
        <v>25</v>
      </c>
      <c r="B23" t="s">
        <v>26</v>
      </c>
      <c r="C23">
        <v>1999</v>
      </c>
      <c r="D23">
        <v>27</v>
      </c>
      <c r="E23">
        <v>453</v>
      </c>
      <c r="F23">
        <v>16.777777777777779</v>
      </c>
      <c r="J23">
        <v>22</v>
      </c>
      <c r="K23" t="s">
        <v>62</v>
      </c>
      <c r="L23">
        <v>2023</v>
      </c>
      <c r="M23">
        <v>3</v>
      </c>
      <c r="N23" t="s">
        <v>53</v>
      </c>
      <c r="O23">
        <v>32</v>
      </c>
      <c r="P23">
        <v>10.67</v>
      </c>
      <c r="Q23">
        <v>22</v>
      </c>
      <c r="R23">
        <v>7</v>
      </c>
    </row>
    <row r="24" spans="1:18" x14ac:dyDescent="0.3">
      <c r="B24" t="s">
        <v>27</v>
      </c>
      <c r="C24">
        <v>2002</v>
      </c>
      <c r="D24">
        <v>24</v>
      </c>
      <c r="E24">
        <v>340</v>
      </c>
      <c r="F24">
        <v>14.166666666666666</v>
      </c>
      <c r="J24">
        <v>23</v>
      </c>
      <c r="K24" t="s">
        <v>28</v>
      </c>
      <c r="L24">
        <v>2007</v>
      </c>
      <c r="M24">
        <v>19</v>
      </c>
      <c r="N24" t="s">
        <v>61</v>
      </c>
      <c r="O24">
        <v>117</v>
      </c>
      <c r="P24">
        <v>6.16</v>
      </c>
      <c r="Q24">
        <v>23</v>
      </c>
      <c r="R24">
        <v>4</v>
      </c>
    </row>
    <row r="25" spans="1:18" x14ac:dyDescent="0.3">
      <c r="B25" t="s">
        <v>28</v>
      </c>
      <c r="C25">
        <v>2007</v>
      </c>
      <c r="D25">
        <v>19</v>
      </c>
      <c r="E25">
        <v>117</v>
      </c>
      <c r="F25">
        <v>6.1578947368421053</v>
      </c>
      <c r="J25">
        <v>24</v>
      </c>
      <c r="K25" t="s">
        <v>29</v>
      </c>
      <c r="L25">
        <v>2009</v>
      </c>
      <c r="M25">
        <v>17</v>
      </c>
      <c r="N25" t="s">
        <v>61</v>
      </c>
      <c r="O25">
        <v>76</v>
      </c>
      <c r="P25">
        <v>4.47</v>
      </c>
      <c r="Q25">
        <v>24</v>
      </c>
      <c r="R25">
        <v>5</v>
      </c>
    </row>
    <row r="26" spans="1:18" x14ac:dyDescent="0.3">
      <c r="B26" t="s">
        <v>29</v>
      </c>
      <c r="C26">
        <v>2009</v>
      </c>
      <c r="D26">
        <v>17</v>
      </c>
      <c r="E26">
        <v>76</v>
      </c>
      <c r="F26">
        <v>4.4705882352941178</v>
      </c>
    </row>
    <row r="27" spans="1:18" x14ac:dyDescent="0.3">
      <c r="B27" t="s">
        <v>30</v>
      </c>
      <c r="C27">
        <v>2021</v>
      </c>
      <c r="D27">
        <v>5</v>
      </c>
      <c r="E27">
        <v>60</v>
      </c>
      <c r="F27">
        <v>12</v>
      </c>
    </row>
    <row r="28" spans="1:18" x14ac:dyDescent="0.3">
      <c r="B28" t="s">
        <v>31</v>
      </c>
      <c r="E28">
        <v>1046</v>
      </c>
    </row>
    <row r="29" spans="1:18" x14ac:dyDescent="0.3">
      <c r="B29" t="s">
        <v>32</v>
      </c>
      <c r="E29">
        <v>40746</v>
      </c>
      <c r="F29">
        <v>627.73300162170131</v>
      </c>
    </row>
    <row r="30" spans="1:18" x14ac:dyDescent="0.3">
      <c r="F30">
        <v>595.774147667796</v>
      </c>
    </row>
    <row r="31" spans="1:18" x14ac:dyDescent="0.3">
      <c r="F31">
        <v>53.572927416580661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F2A5-C2BA-4DDF-9295-C92333E4E5E4}">
  <dimension ref="A1:Q30"/>
  <sheetViews>
    <sheetView workbookViewId="0">
      <selection activeCell="F1" sqref="F1"/>
    </sheetView>
  </sheetViews>
  <sheetFormatPr defaultRowHeight="14.4" x14ac:dyDescent="0.3"/>
  <cols>
    <col min="15" max="15" width="9.5546875" bestFit="1" customWidth="1"/>
  </cols>
  <sheetData>
    <row r="1" spans="1:17" x14ac:dyDescent="0.3">
      <c r="A1" t="s">
        <v>0</v>
      </c>
      <c r="B1" t="s">
        <v>1</v>
      </c>
      <c r="C1" t="s">
        <v>36</v>
      </c>
      <c r="D1" t="s">
        <v>34</v>
      </c>
      <c r="E1" t="s">
        <v>35</v>
      </c>
      <c r="F1" t="s">
        <v>40</v>
      </c>
      <c r="I1" s="4" t="s">
        <v>46</v>
      </c>
      <c r="J1" s="4" t="s">
        <v>47</v>
      </c>
      <c r="K1" s="4" t="s">
        <v>49</v>
      </c>
      <c r="L1" s="4" t="s">
        <v>36</v>
      </c>
      <c r="M1" s="4" t="s">
        <v>34</v>
      </c>
      <c r="N1" s="4" t="s">
        <v>35</v>
      </c>
      <c r="O1" s="4" t="s">
        <v>66</v>
      </c>
      <c r="P1" s="4" t="s">
        <v>51</v>
      </c>
      <c r="Q1" s="4" t="s">
        <v>52</v>
      </c>
    </row>
    <row r="2" spans="1:17" x14ac:dyDescent="0.3">
      <c r="A2" t="s">
        <v>2</v>
      </c>
      <c r="B2" t="s">
        <v>3</v>
      </c>
      <c r="C2">
        <v>56</v>
      </c>
      <c r="D2">
        <v>9534</v>
      </c>
      <c r="E2">
        <v>4321</v>
      </c>
      <c r="F2">
        <v>3.9400601712566534E-2</v>
      </c>
      <c r="I2" s="4">
        <v>1</v>
      </c>
      <c r="J2" s="4" t="s">
        <v>20</v>
      </c>
      <c r="K2" s="4" t="s">
        <v>56</v>
      </c>
      <c r="L2" s="4">
        <v>7</v>
      </c>
      <c r="M2" s="4">
        <v>285</v>
      </c>
      <c r="N2" s="4">
        <v>48</v>
      </c>
      <c r="O2" s="5">
        <v>0.84821400000000002</v>
      </c>
      <c r="P2" s="4">
        <v>1</v>
      </c>
      <c r="Q2" s="4">
        <v>1</v>
      </c>
    </row>
    <row r="3" spans="1:17" x14ac:dyDescent="0.3">
      <c r="B3" t="s">
        <v>4</v>
      </c>
      <c r="C3">
        <v>51</v>
      </c>
      <c r="D3">
        <v>6836</v>
      </c>
      <c r="E3">
        <v>3790</v>
      </c>
      <c r="F3">
        <v>3.5366547674478763E-2</v>
      </c>
      <c r="I3" s="4">
        <v>2</v>
      </c>
      <c r="J3" s="4" t="s">
        <v>19</v>
      </c>
      <c r="K3" s="4" t="s">
        <v>56</v>
      </c>
      <c r="L3" s="4">
        <v>10</v>
      </c>
      <c r="M3" s="4">
        <v>484</v>
      </c>
      <c r="N3" s="4">
        <v>63</v>
      </c>
      <c r="O3" s="5">
        <v>0.76825399999999999</v>
      </c>
      <c r="P3" s="4">
        <v>2</v>
      </c>
      <c r="Q3" s="4">
        <v>2</v>
      </c>
    </row>
    <row r="4" spans="1:17" x14ac:dyDescent="0.3">
      <c r="B4" t="s">
        <v>5</v>
      </c>
      <c r="C4">
        <v>51</v>
      </c>
      <c r="D4">
        <v>6497</v>
      </c>
      <c r="E4">
        <v>2962</v>
      </c>
      <c r="F4">
        <v>4.3008830811190106E-2</v>
      </c>
      <c r="I4" s="4">
        <v>3</v>
      </c>
      <c r="J4" s="4" t="s">
        <v>30</v>
      </c>
      <c r="K4" s="4" t="s">
        <v>61</v>
      </c>
      <c r="L4" s="4">
        <v>5</v>
      </c>
      <c r="M4" s="4">
        <v>60</v>
      </c>
      <c r="N4" s="4">
        <v>24</v>
      </c>
      <c r="O4" s="5">
        <v>0.5</v>
      </c>
      <c r="P4" s="4">
        <v>3</v>
      </c>
      <c r="Q4" s="4">
        <v>1</v>
      </c>
    </row>
    <row r="5" spans="1:17" x14ac:dyDescent="0.3">
      <c r="B5" t="s">
        <v>6</v>
      </c>
      <c r="C5">
        <v>35</v>
      </c>
      <c r="D5">
        <v>3673</v>
      </c>
      <c r="E5">
        <v>1880</v>
      </c>
      <c r="F5">
        <v>5.5820668693009119E-2</v>
      </c>
      <c r="I5" s="4">
        <v>4</v>
      </c>
      <c r="J5" s="4" t="s">
        <v>62</v>
      </c>
      <c r="K5" s="4" t="s">
        <v>53</v>
      </c>
      <c r="L5" s="4">
        <v>3</v>
      </c>
      <c r="M5" s="4">
        <v>32</v>
      </c>
      <c r="N5" s="4">
        <v>25</v>
      </c>
      <c r="O5" s="5">
        <v>0.42666700000000002</v>
      </c>
      <c r="P5" s="4">
        <v>4</v>
      </c>
      <c r="Q5" s="4">
        <v>1</v>
      </c>
    </row>
    <row r="6" spans="1:17" x14ac:dyDescent="0.3">
      <c r="B6" t="s">
        <v>7</v>
      </c>
      <c r="C6">
        <v>19</v>
      </c>
      <c r="D6">
        <v>909</v>
      </c>
      <c r="E6">
        <v>294</v>
      </c>
      <c r="F6">
        <v>0.16272824919441461</v>
      </c>
      <c r="I6" s="4">
        <v>5</v>
      </c>
      <c r="J6" s="4" t="s">
        <v>23</v>
      </c>
      <c r="K6" s="4" t="s">
        <v>56</v>
      </c>
      <c r="L6" s="4">
        <v>5</v>
      </c>
      <c r="M6" s="4">
        <v>247</v>
      </c>
      <c r="N6" s="4">
        <v>141</v>
      </c>
      <c r="O6" s="5">
        <v>0.35035500000000003</v>
      </c>
      <c r="P6" s="4">
        <v>5</v>
      </c>
      <c r="Q6" s="4">
        <v>3</v>
      </c>
    </row>
    <row r="7" spans="1:17" x14ac:dyDescent="0.3">
      <c r="B7" t="s">
        <v>8</v>
      </c>
      <c r="C7">
        <v>15</v>
      </c>
      <c r="D7">
        <v>489</v>
      </c>
      <c r="E7">
        <v>182</v>
      </c>
      <c r="F7">
        <v>0.17912087912087912</v>
      </c>
      <c r="I7" s="4">
        <v>6</v>
      </c>
      <c r="J7" s="4" t="s">
        <v>59</v>
      </c>
      <c r="K7" s="4" t="s">
        <v>56</v>
      </c>
      <c r="L7" s="4">
        <v>5</v>
      </c>
      <c r="M7" s="4">
        <v>429</v>
      </c>
      <c r="N7" s="4">
        <v>245</v>
      </c>
      <c r="O7" s="5">
        <v>0.35020400000000002</v>
      </c>
      <c r="P7" s="4">
        <v>6</v>
      </c>
      <c r="Q7" s="4">
        <v>4</v>
      </c>
    </row>
    <row r="8" spans="1:17" x14ac:dyDescent="0.3">
      <c r="B8" t="s">
        <v>9</v>
      </c>
      <c r="C8">
        <v>3</v>
      </c>
      <c r="D8">
        <v>32</v>
      </c>
      <c r="E8">
        <v>25</v>
      </c>
      <c r="F8">
        <v>0.42666666666666669</v>
      </c>
      <c r="I8" s="4">
        <v>7</v>
      </c>
      <c r="J8" s="4" t="s">
        <v>22</v>
      </c>
      <c r="K8" s="4" t="s">
        <v>56</v>
      </c>
      <c r="L8" s="4">
        <v>5</v>
      </c>
      <c r="M8" s="4">
        <v>233</v>
      </c>
      <c r="N8" s="4">
        <v>151</v>
      </c>
      <c r="O8" s="5">
        <v>0.30860900000000002</v>
      </c>
      <c r="P8" s="4">
        <v>7</v>
      </c>
      <c r="Q8" s="4">
        <v>5</v>
      </c>
    </row>
    <row r="9" spans="1:17" x14ac:dyDescent="0.3">
      <c r="B9" t="s">
        <v>10</v>
      </c>
      <c r="D9">
        <v>27970</v>
      </c>
      <c r="E9">
        <v>13454</v>
      </c>
      <c r="I9" s="4">
        <v>8</v>
      </c>
      <c r="J9" s="4" t="s">
        <v>28</v>
      </c>
      <c r="K9" s="4" t="s">
        <v>61</v>
      </c>
      <c r="L9" s="4">
        <v>19</v>
      </c>
      <c r="M9" s="4">
        <v>117</v>
      </c>
      <c r="N9" s="4">
        <v>34</v>
      </c>
      <c r="O9" s="5">
        <v>0.181115</v>
      </c>
      <c r="P9" s="4">
        <v>8</v>
      </c>
      <c r="Q9" s="4">
        <v>2</v>
      </c>
    </row>
    <row r="10" spans="1:17" x14ac:dyDescent="0.3">
      <c r="A10" t="s">
        <v>11</v>
      </c>
      <c r="B10" t="s">
        <v>12</v>
      </c>
      <c r="C10">
        <v>34</v>
      </c>
      <c r="D10">
        <v>3437</v>
      </c>
      <c r="E10">
        <v>1838</v>
      </c>
      <c r="F10">
        <v>5.4999039877104271E-2</v>
      </c>
      <c r="I10" s="4">
        <v>9</v>
      </c>
      <c r="J10" s="4" t="s">
        <v>8</v>
      </c>
      <c r="K10" s="4" t="s">
        <v>53</v>
      </c>
      <c r="L10" s="4">
        <v>15</v>
      </c>
      <c r="M10" s="4">
        <v>489</v>
      </c>
      <c r="N10" s="4">
        <v>182</v>
      </c>
      <c r="O10" s="5">
        <v>0.179121</v>
      </c>
      <c r="P10" s="4">
        <v>9</v>
      </c>
      <c r="Q10" s="4">
        <v>2</v>
      </c>
    </row>
    <row r="11" spans="1:17" x14ac:dyDescent="0.3">
      <c r="B11" t="s">
        <v>13</v>
      </c>
      <c r="C11">
        <v>47</v>
      </c>
      <c r="D11">
        <v>2279</v>
      </c>
      <c r="E11">
        <v>1060</v>
      </c>
      <c r="F11">
        <v>4.5744680851063826E-2</v>
      </c>
      <c r="I11" s="4">
        <v>10</v>
      </c>
      <c r="J11" s="4" t="s">
        <v>16</v>
      </c>
      <c r="K11" s="4" t="s">
        <v>56</v>
      </c>
      <c r="L11" s="4">
        <v>16</v>
      </c>
      <c r="M11" s="4">
        <v>828</v>
      </c>
      <c r="N11" s="4">
        <v>302</v>
      </c>
      <c r="O11" s="5">
        <v>0.17135800000000001</v>
      </c>
      <c r="P11" s="4">
        <v>10</v>
      </c>
      <c r="Q11" s="4">
        <v>6</v>
      </c>
    </row>
    <row r="12" spans="1:17" x14ac:dyDescent="0.3">
      <c r="B12" t="s">
        <v>14</v>
      </c>
      <c r="C12">
        <v>45</v>
      </c>
      <c r="D12">
        <v>1319</v>
      </c>
      <c r="E12">
        <v>726</v>
      </c>
      <c r="F12">
        <v>4.0373431282522194E-2</v>
      </c>
      <c r="I12" s="4">
        <v>11</v>
      </c>
      <c r="J12" s="4" t="s">
        <v>58</v>
      </c>
      <c r="K12" s="4" t="s">
        <v>53</v>
      </c>
      <c r="L12" s="4">
        <v>19</v>
      </c>
      <c r="M12" s="4">
        <v>909</v>
      </c>
      <c r="N12" s="4">
        <v>294</v>
      </c>
      <c r="O12" s="5">
        <v>0.16272800000000001</v>
      </c>
      <c r="P12" s="4">
        <v>11</v>
      </c>
      <c r="Q12" s="4">
        <v>3</v>
      </c>
    </row>
    <row r="13" spans="1:17" x14ac:dyDescent="0.3">
      <c r="B13" t="s">
        <v>15</v>
      </c>
      <c r="C13">
        <v>26</v>
      </c>
      <c r="D13">
        <v>1257</v>
      </c>
      <c r="E13">
        <v>528</v>
      </c>
      <c r="F13">
        <v>9.1564685314685312E-2</v>
      </c>
      <c r="I13" s="4">
        <v>12</v>
      </c>
      <c r="J13" s="4" t="s">
        <v>29</v>
      </c>
      <c r="K13" s="4" t="s">
        <v>61</v>
      </c>
      <c r="L13" s="4">
        <v>17</v>
      </c>
      <c r="M13" s="4">
        <v>76</v>
      </c>
      <c r="N13" s="4">
        <v>32</v>
      </c>
      <c r="O13" s="5">
        <v>0.139706</v>
      </c>
      <c r="P13" s="4">
        <v>12</v>
      </c>
      <c r="Q13" s="4">
        <v>3</v>
      </c>
    </row>
    <row r="14" spans="1:17" x14ac:dyDescent="0.3">
      <c r="B14" t="s">
        <v>16</v>
      </c>
      <c r="C14">
        <v>16</v>
      </c>
      <c r="D14">
        <v>828</v>
      </c>
      <c r="E14">
        <v>302</v>
      </c>
      <c r="F14">
        <v>0.17135761589403972</v>
      </c>
      <c r="I14" s="4">
        <v>13</v>
      </c>
      <c r="J14" s="4" t="s">
        <v>17</v>
      </c>
      <c r="K14" s="4" t="s">
        <v>56</v>
      </c>
      <c r="L14" s="4">
        <v>22</v>
      </c>
      <c r="M14" s="4">
        <v>726</v>
      </c>
      <c r="N14" s="4">
        <v>282</v>
      </c>
      <c r="O14" s="5">
        <v>0.117021</v>
      </c>
      <c r="P14" s="4">
        <v>13</v>
      </c>
      <c r="Q14" s="4">
        <v>7</v>
      </c>
    </row>
    <row r="15" spans="1:17" x14ac:dyDescent="0.3">
      <c r="B15" t="s">
        <v>17</v>
      </c>
      <c r="C15">
        <v>22</v>
      </c>
      <c r="D15">
        <v>726</v>
      </c>
      <c r="E15">
        <v>282</v>
      </c>
      <c r="F15">
        <v>0.11702127659574468</v>
      </c>
      <c r="I15" s="4">
        <v>14</v>
      </c>
      <c r="J15" s="4" t="s">
        <v>18</v>
      </c>
      <c r="K15" s="4" t="s">
        <v>56</v>
      </c>
      <c r="L15" s="4">
        <v>16</v>
      </c>
      <c r="M15" s="4">
        <v>206</v>
      </c>
      <c r="N15" s="4">
        <v>136</v>
      </c>
      <c r="O15" s="5">
        <v>9.4669000000000003E-2</v>
      </c>
      <c r="P15" s="4">
        <v>14</v>
      </c>
      <c r="Q15" s="4">
        <v>8</v>
      </c>
    </row>
    <row r="16" spans="1:17" x14ac:dyDescent="0.3">
      <c r="B16" t="s">
        <v>18</v>
      </c>
      <c r="C16">
        <v>16</v>
      </c>
      <c r="D16">
        <v>206</v>
      </c>
      <c r="E16">
        <v>136</v>
      </c>
      <c r="F16">
        <v>9.466911764705882E-2</v>
      </c>
      <c r="I16" s="4">
        <v>15</v>
      </c>
      <c r="J16" s="4" t="s">
        <v>27</v>
      </c>
      <c r="K16" s="4" t="s">
        <v>61</v>
      </c>
      <c r="L16" s="4">
        <v>24</v>
      </c>
      <c r="M16" s="4">
        <v>340</v>
      </c>
      <c r="N16" s="4">
        <v>151</v>
      </c>
      <c r="O16" s="5">
        <v>9.3819E-2</v>
      </c>
      <c r="P16" s="4">
        <v>15</v>
      </c>
      <c r="Q16" s="4">
        <v>4</v>
      </c>
    </row>
    <row r="17" spans="1:17" x14ac:dyDescent="0.3">
      <c r="B17" t="s">
        <v>19</v>
      </c>
      <c r="C17">
        <v>10</v>
      </c>
      <c r="D17">
        <v>484</v>
      </c>
      <c r="E17">
        <v>63</v>
      </c>
      <c r="F17">
        <v>0.7682539682539683</v>
      </c>
      <c r="I17" s="4">
        <v>16</v>
      </c>
      <c r="J17" s="4" t="s">
        <v>57</v>
      </c>
      <c r="K17" s="4" t="s">
        <v>56</v>
      </c>
      <c r="L17" s="4">
        <v>26</v>
      </c>
      <c r="M17" s="6">
        <v>1257</v>
      </c>
      <c r="N17" s="4">
        <v>528</v>
      </c>
      <c r="O17" s="5">
        <v>9.1564999999999994E-2</v>
      </c>
      <c r="P17" s="4">
        <v>16</v>
      </c>
      <c r="Q17" s="4">
        <v>9</v>
      </c>
    </row>
    <row r="18" spans="1:17" x14ac:dyDescent="0.3">
      <c r="B18" t="s">
        <v>20</v>
      </c>
      <c r="C18">
        <v>7</v>
      </c>
      <c r="D18">
        <v>285</v>
      </c>
      <c r="E18">
        <v>48</v>
      </c>
      <c r="F18">
        <v>0.8482142857142857</v>
      </c>
      <c r="I18" s="4">
        <v>17</v>
      </c>
      <c r="J18" s="4" t="s">
        <v>60</v>
      </c>
      <c r="K18" s="4" t="s">
        <v>61</v>
      </c>
      <c r="L18" s="4">
        <v>27</v>
      </c>
      <c r="M18" s="4">
        <v>453</v>
      </c>
      <c r="N18" s="4">
        <v>264</v>
      </c>
      <c r="O18" s="5">
        <v>6.3551999999999997E-2</v>
      </c>
      <c r="P18" s="4">
        <v>17</v>
      </c>
      <c r="Q18" s="4">
        <v>5</v>
      </c>
    </row>
    <row r="19" spans="1:17" x14ac:dyDescent="0.3">
      <c r="B19" t="s">
        <v>21</v>
      </c>
      <c r="C19">
        <v>5</v>
      </c>
      <c r="D19">
        <v>429</v>
      </c>
      <c r="E19">
        <v>245</v>
      </c>
      <c r="F19">
        <v>0.35020408163265304</v>
      </c>
      <c r="I19" s="4">
        <v>18</v>
      </c>
      <c r="J19" s="4" t="s">
        <v>6</v>
      </c>
      <c r="K19" s="4" t="s">
        <v>53</v>
      </c>
      <c r="L19" s="4">
        <v>35</v>
      </c>
      <c r="M19" s="6">
        <v>3673</v>
      </c>
      <c r="N19" s="6">
        <v>1880</v>
      </c>
      <c r="O19" s="5">
        <v>5.5821000000000003E-2</v>
      </c>
      <c r="P19" s="4">
        <v>18</v>
      </c>
      <c r="Q19" s="4">
        <v>4</v>
      </c>
    </row>
    <row r="20" spans="1:17" x14ac:dyDescent="0.3">
      <c r="B20" t="s">
        <v>22</v>
      </c>
      <c r="C20">
        <v>5</v>
      </c>
      <c r="D20">
        <v>233</v>
      </c>
      <c r="E20">
        <v>151</v>
      </c>
      <c r="F20">
        <v>0.3086092715231788</v>
      </c>
      <c r="I20" s="4">
        <v>19</v>
      </c>
      <c r="J20" s="4" t="s">
        <v>55</v>
      </c>
      <c r="K20" s="4" t="s">
        <v>56</v>
      </c>
      <c r="L20" s="4">
        <v>34</v>
      </c>
      <c r="M20" s="6">
        <v>3437</v>
      </c>
      <c r="N20" s="6">
        <v>1838</v>
      </c>
      <c r="O20" s="5">
        <v>5.4998999999999999E-2</v>
      </c>
      <c r="P20" s="4">
        <v>19</v>
      </c>
      <c r="Q20" s="4">
        <v>10</v>
      </c>
    </row>
    <row r="21" spans="1:17" x14ac:dyDescent="0.3">
      <c r="B21" t="s">
        <v>23</v>
      </c>
      <c r="C21">
        <v>5</v>
      </c>
      <c r="D21">
        <v>247</v>
      </c>
      <c r="E21">
        <v>141</v>
      </c>
      <c r="F21">
        <v>0.35035460992907802</v>
      </c>
      <c r="I21" s="4">
        <v>20</v>
      </c>
      <c r="J21" s="4" t="s">
        <v>13</v>
      </c>
      <c r="K21" s="4" t="s">
        <v>56</v>
      </c>
      <c r="L21" s="4">
        <v>47</v>
      </c>
      <c r="M21" s="6">
        <v>2279</v>
      </c>
      <c r="N21" s="6">
        <v>1060</v>
      </c>
      <c r="O21" s="5">
        <v>4.5745000000000001E-2</v>
      </c>
      <c r="P21" s="4">
        <v>20</v>
      </c>
      <c r="Q21" s="4">
        <v>11</v>
      </c>
    </row>
    <row r="22" spans="1:17" x14ac:dyDescent="0.3">
      <c r="B22" t="s">
        <v>24</v>
      </c>
      <c r="D22">
        <v>11730</v>
      </c>
      <c r="E22">
        <v>5520</v>
      </c>
      <c r="I22" s="4">
        <v>21</v>
      </c>
      <c r="J22" s="4" t="s">
        <v>54</v>
      </c>
      <c r="K22" s="4" t="s">
        <v>53</v>
      </c>
      <c r="L22" s="4">
        <v>51</v>
      </c>
      <c r="M22" s="6">
        <v>6497</v>
      </c>
      <c r="N22" s="6">
        <v>2962</v>
      </c>
      <c r="O22" s="5">
        <v>4.3008999999999999E-2</v>
      </c>
      <c r="P22" s="4">
        <v>21</v>
      </c>
      <c r="Q22" s="4">
        <v>5</v>
      </c>
    </row>
    <row r="23" spans="1:17" x14ac:dyDescent="0.3">
      <c r="A23" t="s">
        <v>25</v>
      </c>
      <c r="B23" t="s">
        <v>26</v>
      </c>
      <c r="C23">
        <v>27</v>
      </c>
      <c r="D23">
        <v>453</v>
      </c>
      <c r="E23">
        <v>264</v>
      </c>
      <c r="F23">
        <v>6.3552188552188554E-2</v>
      </c>
      <c r="I23" s="4">
        <v>22</v>
      </c>
      <c r="J23" s="4" t="s">
        <v>14</v>
      </c>
      <c r="K23" s="4" t="s">
        <v>56</v>
      </c>
      <c r="L23" s="4">
        <v>45</v>
      </c>
      <c r="M23" s="6">
        <v>1319</v>
      </c>
      <c r="N23" s="4">
        <v>726</v>
      </c>
      <c r="O23" s="5">
        <v>4.0372999999999999E-2</v>
      </c>
      <c r="P23" s="4">
        <v>22</v>
      </c>
      <c r="Q23" s="4">
        <v>12</v>
      </c>
    </row>
    <row r="24" spans="1:17" x14ac:dyDescent="0.3">
      <c r="B24" t="s">
        <v>27</v>
      </c>
      <c r="C24">
        <v>24</v>
      </c>
      <c r="D24">
        <v>340</v>
      </c>
      <c r="E24">
        <v>151</v>
      </c>
      <c r="F24">
        <v>9.3818984547461362E-2</v>
      </c>
      <c r="I24" s="4">
        <v>23</v>
      </c>
      <c r="J24" s="4" t="s">
        <v>3</v>
      </c>
      <c r="K24" s="4" t="s">
        <v>53</v>
      </c>
      <c r="L24" s="4">
        <v>56</v>
      </c>
      <c r="M24" s="6">
        <v>9534</v>
      </c>
      <c r="N24" s="6">
        <v>4321</v>
      </c>
      <c r="O24" s="5">
        <v>3.9400999999999999E-2</v>
      </c>
      <c r="P24" s="4">
        <v>23</v>
      </c>
      <c r="Q24" s="4">
        <v>6</v>
      </c>
    </row>
    <row r="25" spans="1:17" x14ac:dyDescent="0.3">
      <c r="B25" t="s">
        <v>28</v>
      </c>
      <c r="C25">
        <v>19</v>
      </c>
      <c r="D25">
        <v>117</v>
      </c>
      <c r="E25">
        <v>34</v>
      </c>
      <c r="F25">
        <v>0.18111455108359134</v>
      </c>
      <c r="I25" s="4">
        <v>24</v>
      </c>
      <c r="J25" s="4" t="s">
        <v>4</v>
      </c>
      <c r="K25" s="4" t="s">
        <v>53</v>
      </c>
      <c r="L25" s="4">
        <v>51</v>
      </c>
      <c r="M25" s="6">
        <v>6836</v>
      </c>
      <c r="N25" s="6">
        <v>3790</v>
      </c>
      <c r="O25" s="5">
        <v>3.5367000000000003E-2</v>
      </c>
      <c r="P25" s="4">
        <v>24</v>
      </c>
      <c r="Q25" s="4">
        <v>7</v>
      </c>
    </row>
    <row r="26" spans="1:17" x14ac:dyDescent="0.3">
      <c r="B26" t="s">
        <v>29</v>
      </c>
      <c r="C26">
        <v>17</v>
      </c>
      <c r="D26">
        <v>76</v>
      </c>
      <c r="E26">
        <v>32</v>
      </c>
      <c r="F26">
        <v>0.13970588235294118</v>
      </c>
    </row>
    <row r="27" spans="1:17" x14ac:dyDescent="0.3">
      <c r="B27" t="s">
        <v>30</v>
      </c>
      <c r="C27">
        <v>5</v>
      </c>
      <c r="D27">
        <v>60</v>
      </c>
      <c r="E27">
        <v>24</v>
      </c>
      <c r="F27">
        <v>0.5</v>
      </c>
    </row>
    <row r="28" spans="1:17" x14ac:dyDescent="0.3">
      <c r="B28" t="s">
        <v>31</v>
      </c>
      <c r="D28">
        <v>1046</v>
      </c>
      <c r="E28">
        <v>505</v>
      </c>
    </row>
    <row r="29" spans="1:17" x14ac:dyDescent="0.3">
      <c r="B29" t="s">
        <v>32</v>
      </c>
      <c r="D29">
        <v>40746</v>
      </c>
      <c r="E29">
        <v>19479</v>
      </c>
      <c r="F29">
        <v>1277.0800767060778</v>
      </c>
    </row>
    <row r="30" spans="1:17" x14ac:dyDescent="0.3">
      <c r="F30">
        <v>53.21166986275324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FC4B-0EAF-4779-8E8A-33AA22FF67EE}">
  <dimension ref="A1:O28"/>
  <sheetViews>
    <sheetView workbookViewId="0">
      <selection activeCell="B4" sqref="B4:E28"/>
    </sheetView>
  </sheetViews>
  <sheetFormatPr defaultRowHeight="14.4" x14ac:dyDescent="0.3"/>
  <cols>
    <col min="13" max="13" width="9.5546875" bestFit="1" customWidth="1"/>
  </cols>
  <sheetData>
    <row r="1" spans="1:15" x14ac:dyDescent="0.3">
      <c r="A1" t="s">
        <v>0</v>
      </c>
      <c r="B1" t="s">
        <v>1</v>
      </c>
      <c r="C1" t="s">
        <v>36</v>
      </c>
      <c r="D1" t="s">
        <v>35</v>
      </c>
      <c r="E1" t="s">
        <v>39</v>
      </c>
      <c r="H1" t="s">
        <v>46</v>
      </c>
      <c r="I1" t="s">
        <v>47</v>
      </c>
      <c r="J1" t="s">
        <v>49</v>
      </c>
      <c r="K1" t="s">
        <v>36</v>
      </c>
      <c r="L1" t="s">
        <v>35</v>
      </c>
      <c r="M1" t="s">
        <v>67</v>
      </c>
      <c r="N1" t="s">
        <v>51</v>
      </c>
      <c r="O1" t="s">
        <v>52</v>
      </c>
    </row>
    <row r="2" spans="1:15" x14ac:dyDescent="0.3">
      <c r="A2" t="s">
        <v>2</v>
      </c>
      <c r="B2" t="s">
        <v>3</v>
      </c>
      <c r="C2">
        <v>56</v>
      </c>
      <c r="D2">
        <v>4321</v>
      </c>
      <c r="E2">
        <v>77.160714285714292</v>
      </c>
      <c r="H2">
        <v>1</v>
      </c>
      <c r="I2" t="s">
        <v>3</v>
      </c>
      <c r="J2" t="s">
        <v>53</v>
      </c>
      <c r="K2">
        <v>56</v>
      </c>
      <c r="L2" s="3">
        <v>4321</v>
      </c>
      <c r="M2" s="1">
        <v>77.160700000000006</v>
      </c>
      <c r="N2">
        <v>1</v>
      </c>
      <c r="O2">
        <v>1</v>
      </c>
    </row>
    <row r="3" spans="1:15" x14ac:dyDescent="0.3">
      <c r="B3" t="s">
        <v>4</v>
      </c>
      <c r="C3">
        <v>51</v>
      </c>
      <c r="D3">
        <v>3790</v>
      </c>
      <c r="E3">
        <v>74.313725490196077</v>
      </c>
      <c r="H3">
        <v>2</v>
      </c>
      <c r="I3" t="s">
        <v>4</v>
      </c>
      <c r="J3" t="s">
        <v>53</v>
      </c>
      <c r="K3">
        <v>51</v>
      </c>
      <c r="L3" s="3">
        <v>3790</v>
      </c>
      <c r="M3" s="1">
        <v>74.313699999999997</v>
      </c>
      <c r="N3">
        <v>2</v>
      </c>
      <c r="O3">
        <v>2</v>
      </c>
    </row>
    <row r="4" spans="1:15" x14ac:dyDescent="0.3">
      <c r="B4" t="s">
        <v>6</v>
      </c>
      <c r="C4">
        <v>35</v>
      </c>
      <c r="D4">
        <v>1880</v>
      </c>
      <c r="E4">
        <v>53.714285714285715</v>
      </c>
      <c r="H4">
        <v>3</v>
      </c>
      <c r="I4" t="s">
        <v>5</v>
      </c>
      <c r="J4" t="s">
        <v>53</v>
      </c>
      <c r="K4">
        <v>51</v>
      </c>
      <c r="L4">
        <v>2962</v>
      </c>
      <c r="M4" s="1">
        <v>58.078431372549019</v>
      </c>
      <c r="N4">
        <v>3</v>
      </c>
      <c r="O4">
        <v>3</v>
      </c>
    </row>
    <row r="5" spans="1:15" x14ac:dyDescent="0.3">
      <c r="B5" t="s">
        <v>7</v>
      </c>
      <c r="C5">
        <v>19</v>
      </c>
      <c r="D5">
        <v>294</v>
      </c>
      <c r="E5">
        <v>15.473684210526315</v>
      </c>
      <c r="H5">
        <v>4</v>
      </c>
      <c r="I5" t="s">
        <v>55</v>
      </c>
      <c r="J5" t="s">
        <v>56</v>
      </c>
      <c r="K5">
        <v>34</v>
      </c>
      <c r="L5" s="3">
        <v>1838</v>
      </c>
      <c r="M5" s="1">
        <v>54.058799999999998</v>
      </c>
      <c r="N5">
        <v>3</v>
      </c>
      <c r="O5">
        <v>1</v>
      </c>
    </row>
    <row r="6" spans="1:15" x14ac:dyDescent="0.3">
      <c r="B6" t="s">
        <v>8</v>
      </c>
      <c r="C6">
        <v>15</v>
      </c>
      <c r="D6">
        <v>182</v>
      </c>
      <c r="E6">
        <v>12.133333333333333</v>
      </c>
      <c r="H6">
        <v>5</v>
      </c>
      <c r="I6" t="s">
        <v>6</v>
      </c>
      <c r="J6" t="s">
        <v>53</v>
      </c>
      <c r="K6">
        <v>35</v>
      </c>
      <c r="L6" s="3">
        <v>1880</v>
      </c>
      <c r="M6" s="1">
        <v>53.714300000000001</v>
      </c>
      <c r="N6">
        <v>4</v>
      </c>
      <c r="O6">
        <v>3</v>
      </c>
    </row>
    <row r="7" spans="1:15" x14ac:dyDescent="0.3">
      <c r="B7" t="s">
        <v>9</v>
      </c>
      <c r="C7">
        <v>3</v>
      </c>
      <c r="D7">
        <v>25</v>
      </c>
      <c r="E7">
        <v>8.3333333333333339</v>
      </c>
      <c r="H7">
        <v>6</v>
      </c>
      <c r="I7" t="s">
        <v>59</v>
      </c>
      <c r="J7" t="s">
        <v>56</v>
      </c>
      <c r="K7">
        <v>5</v>
      </c>
      <c r="L7">
        <v>245</v>
      </c>
      <c r="M7" s="1">
        <v>49</v>
      </c>
      <c r="N7">
        <v>5</v>
      </c>
      <c r="O7">
        <v>2</v>
      </c>
    </row>
    <row r="8" spans="1:15" x14ac:dyDescent="0.3">
      <c r="B8" t="s">
        <v>10</v>
      </c>
      <c r="D8">
        <v>13454</v>
      </c>
      <c r="H8">
        <v>7</v>
      </c>
      <c r="I8" t="s">
        <v>22</v>
      </c>
      <c r="J8" t="s">
        <v>56</v>
      </c>
      <c r="K8">
        <v>5</v>
      </c>
      <c r="L8">
        <v>151</v>
      </c>
      <c r="M8" s="1">
        <v>30.2</v>
      </c>
      <c r="N8">
        <v>6</v>
      </c>
      <c r="O8">
        <v>3</v>
      </c>
    </row>
    <row r="9" spans="1:15" x14ac:dyDescent="0.3">
      <c r="B9" t="s">
        <v>12</v>
      </c>
      <c r="C9">
        <v>34</v>
      </c>
      <c r="D9">
        <v>1838</v>
      </c>
      <c r="E9">
        <v>54.058823529411768</v>
      </c>
      <c r="H9">
        <v>8</v>
      </c>
      <c r="I9" t="s">
        <v>23</v>
      </c>
      <c r="J9" t="s">
        <v>56</v>
      </c>
      <c r="K9">
        <v>5</v>
      </c>
      <c r="L9">
        <v>141</v>
      </c>
      <c r="M9" s="1">
        <v>28.2</v>
      </c>
      <c r="N9">
        <v>7</v>
      </c>
      <c r="O9">
        <v>4</v>
      </c>
    </row>
    <row r="10" spans="1:15" x14ac:dyDescent="0.3">
      <c r="A10" t="s">
        <v>11</v>
      </c>
      <c r="B10" t="s">
        <v>13</v>
      </c>
      <c r="C10">
        <v>47</v>
      </c>
      <c r="D10">
        <v>1060</v>
      </c>
      <c r="E10">
        <v>22.553191489361701</v>
      </c>
      <c r="H10">
        <v>9</v>
      </c>
      <c r="I10" t="s">
        <v>13</v>
      </c>
      <c r="J10" t="s">
        <v>56</v>
      </c>
      <c r="K10">
        <v>47</v>
      </c>
      <c r="L10" s="3">
        <v>1060</v>
      </c>
      <c r="M10" s="1">
        <v>22.5532</v>
      </c>
      <c r="N10">
        <v>8</v>
      </c>
      <c r="O10">
        <v>5</v>
      </c>
    </row>
    <row r="11" spans="1:15" x14ac:dyDescent="0.3">
      <c r="B11" t="s">
        <v>14</v>
      </c>
      <c r="C11">
        <v>45</v>
      </c>
      <c r="D11">
        <v>726</v>
      </c>
      <c r="E11">
        <v>16.133333333333333</v>
      </c>
      <c r="H11">
        <v>10</v>
      </c>
      <c r="I11" t="s">
        <v>57</v>
      </c>
      <c r="J11" t="s">
        <v>56</v>
      </c>
      <c r="K11">
        <v>26</v>
      </c>
      <c r="L11">
        <v>528</v>
      </c>
      <c r="M11" s="1">
        <v>20.307700000000001</v>
      </c>
      <c r="N11">
        <v>9</v>
      </c>
      <c r="O11">
        <v>6</v>
      </c>
    </row>
    <row r="12" spans="1:15" x14ac:dyDescent="0.3">
      <c r="B12" t="s">
        <v>15</v>
      </c>
      <c r="C12">
        <v>26</v>
      </c>
      <c r="D12">
        <v>528</v>
      </c>
      <c r="E12">
        <v>20.307692307692307</v>
      </c>
      <c r="H12">
        <v>11</v>
      </c>
      <c r="I12" t="s">
        <v>16</v>
      </c>
      <c r="J12" t="s">
        <v>56</v>
      </c>
      <c r="K12">
        <v>16</v>
      </c>
      <c r="L12">
        <v>302</v>
      </c>
      <c r="M12" s="1">
        <v>18.875</v>
      </c>
      <c r="N12">
        <v>10</v>
      </c>
      <c r="O12">
        <v>7</v>
      </c>
    </row>
    <row r="13" spans="1:15" x14ac:dyDescent="0.3">
      <c r="B13" t="s">
        <v>16</v>
      </c>
      <c r="C13">
        <v>16</v>
      </c>
      <c r="D13">
        <v>302</v>
      </c>
      <c r="E13">
        <v>18.875</v>
      </c>
      <c r="H13">
        <v>12</v>
      </c>
      <c r="I13" t="s">
        <v>14</v>
      </c>
      <c r="J13" t="s">
        <v>56</v>
      </c>
      <c r="K13">
        <v>45</v>
      </c>
      <c r="L13">
        <v>726</v>
      </c>
      <c r="M13" s="1">
        <v>16.133299999999998</v>
      </c>
      <c r="N13">
        <v>11</v>
      </c>
      <c r="O13">
        <v>8</v>
      </c>
    </row>
    <row r="14" spans="1:15" x14ac:dyDescent="0.3">
      <c r="B14" t="s">
        <v>17</v>
      </c>
      <c r="C14">
        <v>22</v>
      </c>
      <c r="D14">
        <v>282</v>
      </c>
      <c r="E14">
        <v>12.818181818181818</v>
      </c>
      <c r="H14">
        <v>13</v>
      </c>
      <c r="I14" t="s">
        <v>58</v>
      </c>
      <c r="J14" t="s">
        <v>53</v>
      </c>
      <c r="K14">
        <v>19</v>
      </c>
      <c r="L14">
        <v>294</v>
      </c>
      <c r="M14" s="1">
        <v>15.473699999999999</v>
      </c>
      <c r="N14">
        <v>12</v>
      </c>
      <c r="O14">
        <v>4</v>
      </c>
    </row>
    <row r="15" spans="1:15" x14ac:dyDescent="0.3">
      <c r="B15" t="s">
        <v>18</v>
      </c>
      <c r="C15">
        <v>16</v>
      </c>
      <c r="D15">
        <v>136</v>
      </c>
      <c r="E15">
        <v>8.5</v>
      </c>
      <c r="H15">
        <v>14</v>
      </c>
      <c r="I15" t="s">
        <v>17</v>
      </c>
      <c r="J15" t="s">
        <v>56</v>
      </c>
      <c r="K15">
        <v>22</v>
      </c>
      <c r="L15">
        <v>282</v>
      </c>
      <c r="M15" s="1">
        <v>12.818199999999999</v>
      </c>
      <c r="N15">
        <v>13</v>
      </c>
      <c r="O15">
        <v>9</v>
      </c>
    </row>
    <row r="16" spans="1:15" x14ac:dyDescent="0.3">
      <c r="B16" t="s">
        <v>19</v>
      </c>
      <c r="C16">
        <v>10</v>
      </c>
      <c r="D16">
        <v>63</v>
      </c>
      <c r="E16">
        <v>6.3</v>
      </c>
      <c r="H16">
        <v>15</v>
      </c>
      <c r="I16" t="s">
        <v>8</v>
      </c>
      <c r="J16" t="s">
        <v>53</v>
      </c>
      <c r="K16">
        <v>15</v>
      </c>
      <c r="L16">
        <v>182</v>
      </c>
      <c r="M16" s="1">
        <v>12.1333</v>
      </c>
      <c r="N16">
        <v>14</v>
      </c>
      <c r="O16">
        <v>5</v>
      </c>
    </row>
    <row r="17" spans="1:15" x14ac:dyDescent="0.3">
      <c r="B17" t="s">
        <v>20</v>
      </c>
      <c r="C17">
        <v>7</v>
      </c>
      <c r="D17">
        <v>48</v>
      </c>
      <c r="E17">
        <v>6.8571428571428568</v>
      </c>
      <c r="H17">
        <v>16</v>
      </c>
      <c r="I17" t="s">
        <v>60</v>
      </c>
      <c r="J17" t="s">
        <v>61</v>
      </c>
      <c r="K17">
        <v>27</v>
      </c>
      <c r="L17">
        <v>264</v>
      </c>
      <c r="M17" s="1">
        <v>9.7777999999999992</v>
      </c>
      <c r="N17">
        <v>15</v>
      </c>
      <c r="O17">
        <v>1</v>
      </c>
    </row>
    <row r="18" spans="1:15" x14ac:dyDescent="0.3">
      <c r="B18" t="s">
        <v>21</v>
      </c>
      <c r="C18">
        <v>5</v>
      </c>
      <c r="D18">
        <v>245</v>
      </c>
      <c r="E18">
        <v>49</v>
      </c>
      <c r="H18">
        <v>17</v>
      </c>
      <c r="I18" t="s">
        <v>18</v>
      </c>
      <c r="J18" t="s">
        <v>56</v>
      </c>
      <c r="K18">
        <v>16</v>
      </c>
      <c r="L18">
        <v>136</v>
      </c>
      <c r="M18" s="1">
        <v>8.5</v>
      </c>
      <c r="N18">
        <v>16</v>
      </c>
      <c r="O18">
        <v>10</v>
      </c>
    </row>
    <row r="19" spans="1:15" x14ac:dyDescent="0.3">
      <c r="B19" t="s">
        <v>22</v>
      </c>
      <c r="C19">
        <v>5</v>
      </c>
      <c r="D19">
        <v>151</v>
      </c>
      <c r="E19">
        <v>30.2</v>
      </c>
      <c r="H19">
        <v>18</v>
      </c>
      <c r="I19" t="s">
        <v>62</v>
      </c>
      <c r="J19" t="s">
        <v>53</v>
      </c>
      <c r="K19">
        <v>3</v>
      </c>
      <c r="L19">
        <v>25</v>
      </c>
      <c r="M19" s="1">
        <v>8.3332999999999995</v>
      </c>
      <c r="N19">
        <v>17</v>
      </c>
      <c r="O19">
        <v>6</v>
      </c>
    </row>
    <row r="20" spans="1:15" x14ac:dyDescent="0.3">
      <c r="B20" t="s">
        <v>23</v>
      </c>
      <c r="C20">
        <v>5</v>
      </c>
      <c r="D20">
        <v>141</v>
      </c>
      <c r="E20">
        <v>28.2</v>
      </c>
      <c r="H20">
        <v>19</v>
      </c>
      <c r="I20" t="s">
        <v>20</v>
      </c>
      <c r="J20" t="s">
        <v>56</v>
      </c>
      <c r="K20">
        <v>7</v>
      </c>
      <c r="L20">
        <v>48</v>
      </c>
      <c r="M20" s="1">
        <v>6.8571</v>
      </c>
      <c r="N20">
        <v>18</v>
      </c>
      <c r="O20">
        <v>11</v>
      </c>
    </row>
    <row r="21" spans="1:15" x14ac:dyDescent="0.3">
      <c r="B21" t="s">
        <v>24</v>
      </c>
      <c r="D21">
        <v>5520</v>
      </c>
      <c r="H21">
        <v>20</v>
      </c>
      <c r="I21" t="s">
        <v>27</v>
      </c>
      <c r="J21" t="s">
        <v>61</v>
      </c>
      <c r="K21">
        <v>24</v>
      </c>
      <c r="L21">
        <v>151</v>
      </c>
      <c r="M21" s="1">
        <v>6.2916999999999996</v>
      </c>
      <c r="N21">
        <v>19</v>
      </c>
      <c r="O21">
        <v>2</v>
      </c>
    </row>
    <row r="22" spans="1:15" x14ac:dyDescent="0.3">
      <c r="B22" t="s">
        <v>26</v>
      </c>
      <c r="C22">
        <v>27</v>
      </c>
      <c r="D22">
        <v>264</v>
      </c>
      <c r="E22">
        <v>9.7777777777777786</v>
      </c>
      <c r="H22">
        <v>21</v>
      </c>
      <c r="I22" t="s">
        <v>19</v>
      </c>
      <c r="J22" t="s">
        <v>56</v>
      </c>
      <c r="K22">
        <v>10</v>
      </c>
      <c r="L22">
        <v>63</v>
      </c>
      <c r="M22" s="1">
        <v>6.3</v>
      </c>
      <c r="N22">
        <v>20</v>
      </c>
      <c r="O22">
        <v>12</v>
      </c>
    </row>
    <row r="23" spans="1:15" x14ac:dyDescent="0.3">
      <c r="A23" t="s">
        <v>25</v>
      </c>
      <c r="B23" t="s">
        <v>27</v>
      </c>
      <c r="C23">
        <v>24</v>
      </c>
      <c r="D23">
        <v>151</v>
      </c>
      <c r="E23">
        <v>6.291666666666667</v>
      </c>
      <c r="H23">
        <v>22</v>
      </c>
      <c r="I23" t="s">
        <v>30</v>
      </c>
      <c r="J23" t="s">
        <v>61</v>
      </c>
      <c r="K23">
        <v>5</v>
      </c>
      <c r="L23">
        <v>24</v>
      </c>
      <c r="M23" s="1">
        <v>4.8</v>
      </c>
      <c r="N23">
        <v>21</v>
      </c>
      <c r="O23">
        <v>3</v>
      </c>
    </row>
    <row r="24" spans="1:15" x14ac:dyDescent="0.3">
      <c r="B24" t="s">
        <v>28</v>
      </c>
      <c r="C24">
        <v>19</v>
      </c>
      <c r="D24">
        <v>34</v>
      </c>
      <c r="E24">
        <v>1.7894736842105263</v>
      </c>
      <c r="H24">
        <v>23</v>
      </c>
      <c r="I24" t="s">
        <v>29</v>
      </c>
      <c r="J24" t="s">
        <v>61</v>
      </c>
      <c r="K24">
        <v>17</v>
      </c>
      <c r="L24">
        <v>32</v>
      </c>
      <c r="M24" s="1">
        <v>1.8824000000000001</v>
      </c>
      <c r="N24">
        <v>22</v>
      </c>
      <c r="O24">
        <v>4</v>
      </c>
    </row>
    <row r="25" spans="1:15" x14ac:dyDescent="0.3">
      <c r="B25" t="s">
        <v>29</v>
      </c>
      <c r="C25">
        <v>17</v>
      </c>
      <c r="D25">
        <v>32</v>
      </c>
      <c r="E25">
        <v>1.8823529411764706</v>
      </c>
      <c r="H25">
        <v>24</v>
      </c>
      <c r="I25" t="s">
        <v>28</v>
      </c>
      <c r="J25" t="s">
        <v>61</v>
      </c>
      <c r="K25">
        <v>19</v>
      </c>
      <c r="L25">
        <v>34</v>
      </c>
      <c r="M25" s="1">
        <v>1.7895000000000001</v>
      </c>
      <c r="N25">
        <v>23</v>
      </c>
      <c r="O25">
        <v>5</v>
      </c>
    </row>
    <row r="26" spans="1:15" x14ac:dyDescent="0.3">
      <c r="B26" t="s">
        <v>30</v>
      </c>
      <c r="C26">
        <v>5</v>
      </c>
      <c r="D26">
        <v>24</v>
      </c>
      <c r="E26">
        <v>4.8</v>
      </c>
    </row>
    <row r="27" spans="1:15" x14ac:dyDescent="0.3">
      <c r="B27" t="s">
        <v>31</v>
      </c>
      <c r="D27">
        <v>505</v>
      </c>
    </row>
    <row r="28" spans="1:15" x14ac:dyDescent="0.3">
      <c r="B28" t="s">
        <v>32</v>
      </c>
      <c r="D28">
        <v>19479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F64-A933-4304-9587-632A0F943AEE}">
  <dimension ref="A1:Q31"/>
  <sheetViews>
    <sheetView topLeftCell="F1" workbookViewId="0">
      <selection activeCell="I2" sqref="I2:I25"/>
    </sheetView>
  </sheetViews>
  <sheetFormatPr defaultRowHeight="14.4" x14ac:dyDescent="0.3"/>
  <cols>
    <col min="11" max="17" width="8.88671875" style="4"/>
  </cols>
  <sheetData>
    <row r="1" spans="1:17" x14ac:dyDescent="0.3">
      <c r="A1" t="s">
        <v>0</v>
      </c>
      <c r="B1" t="s">
        <v>1</v>
      </c>
      <c r="C1" t="s">
        <v>36</v>
      </c>
      <c r="D1" t="s">
        <v>34</v>
      </c>
      <c r="E1" t="s">
        <v>38</v>
      </c>
      <c r="F1" t="s">
        <v>42</v>
      </c>
      <c r="J1" t="s">
        <v>1</v>
      </c>
      <c r="K1" s="4" t="s">
        <v>0</v>
      </c>
      <c r="L1" s="4" t="s">
        <v>36</v>
      </c>
      <c r="M1" s="4" t="s">
        <v>68</v>
      </c>
      <c r="N1" s="4" t="s">
        <v>69</v>
      </c>
      <c r="O1" s="4" t="s">
        <v>70</v>
      </c>
      <c r="P1" s="4" t="s">
        <v>51</v>
      </c>
      <c r="Q1" s="4" t="s">
        <v>79</v>
      </c>
    </row>
    <row r="2" spans="1:17" x14ac:dyDescent="0.3">
      <c r="A2" t="s">
        <v>2</v>
      </c>
      <c r="B2" t="s">
        <v>3</v>
      </c>
      <c r="C2">
        <v>56</v>
      </c>
      <c r="D2">
        <v>9534</v>
      </c>
      <c r="E2">
        <v>170.25</v>
      </c>
      <c r="F2">
        <v>3.1995264137114505</v>
      </c>
      <c r="G2">
        <v>53.210999999999999</v>
      </c>
      <c r="I2">
        <v>1</v>
      </c>
      <c r="J2" t="s">
        <v>3</v>
      </c>
      <c r="K2" s="4" t="s">
        <v>53</v>
      </c>
      <c r="L2" s="4">
        <v>56</v>
      </c>
      <c r="M2" s="4">
        <v>9534</v>
      </c>
      <c r="N2" s="4">
        <v>170.25</v>
      </c>
      <c r="O2" s="5">
        <v>3.1995</v>
      </c>
      <c r="P2" s="4">
        <v>1</v>
      </c>
      <c r="Q2" s="4">
        <v>1</v>
      </c>
    </row>
    <row r="3" spans="1:17" x14ac:dyDescent="0.3">
      <c r="B3" t="s">
        <v>4</v>
      </c>
      <c r="C3">
        <v>51</v>
      </c>
      <c r="D3">
        <v>6836</v>
      </c>
      <c r="E3">
        <v>134.0392156862745</v>
      </c>
      <c r="F3">
        <v>2.5190132808305519</v>
      </c>
      <c r="G3">
        <v>53.210999999999999</v>
      </c>
      <c r="I3">
        <v>2</v>
      </c>
      <c r="J3" t="s">
        <v>4</v>
      </c>
      <c r="K3" s="4" t="s">
        <v>53</v>
      </c>
      <c r="L3" s="4">
        <v>51</v>
      </c>
      <c r="M3" s="4">
        <v>6836</v>
      </c>
      <c r="N3" s="4">
        <v>134.04</v>
      </c>
      <c r="O3" s="5">
        <v>2.5190000000000001</v>
      </c>
      <c r="P3" s="4">
        <v>2</v>
      </c>
      <c r="Q3" s="4">
        <v>2</v>
      </c>
    </row>
    <row r="4" spans="1:17" x14ac:dyDescent="0.3">
      <c r="B4" t="s">
        <v>5</v>
      </c>
      <c r="C4">
        <v>51</v>
      </c>
      <c r="D4">
        <v>6497</v>
      </c>
      <c r="E4">
        <v>127.3921568627451</v>
      </c>
      <c r="F4">
        <v>2.3940943951954501</v>
      </c>
      <c r="G4">
        <v>53.210999999999999</v>
      </c>
      <c r="I4">
        <v>3</v>
      </c>
      <c r="J4" t="s">
        <v>54</v>
      </c>
      <c r="K4" s="4" t="s">
        <v>53</v>
      </c>
      <c r="L4" s="4">
        <v>51</v>
      </c>
      <c r="M4" s="4">
        <v>6497</v>
      </c>
      <c r="N4" s="4">
        <v>127.39</v>
      </c>
      <c r="O4" s="5">
        <v>2.3940999999999999</v>
      </c>
      <c r="P4" s="4">
        <v>3</v>
      </c>
      <c r="Q4" s="4">
        <v>3</v>
      </c>
    </row>
    <row r="5" spans="1:17" x14ac:dyDescent="0.3">
      <c r="B5" t="s">
        <v>6</v>
      </c>
      <c r="C5">
        <v>35</v>
      </c>
      <c r="D5">
        <v>3673</v>
      </c>
      <c r="E5">
        <v>104.94285714285714</v>
      </c>
      <c r="F5">
        <v>1.9722023104782307</v>
      </c>
      <c r="G5">
        <v>53.210999999999999</v>
      </c>
      <c r="I5">
        <v>4</v>
      </c>
      <c r="J5" t="s">
        <v>6</v>
      </c>
      <c r="K5" s="4" t="s">
        <v>53</v>
      </c>
      <c r="L5" s="4">
        <v>35</v>
      </c>
      <c r="M5" s="4">
        <v>3673</v>
      </c>
      <c r="N5" s="4">
        <v>104.94</v>
      </c>
      <c r="O5" s="5">
        <v>1.9722</v>
      </c>
      <c r="P5" s="4">
        <v>4</v>
      </c>
      <c r="Q5" s="4">
        <v>4</v>
      </c>
    </row>
    <row r="6" spans="1:17" x14ac:dyDescent="0.3">
      <c r="B6" t="s">
        <v>7</v>
      </c>
      <c r="C6">
        <v>19</v>
      </c>
      <c r="D6">
        <v>909</v>
      </c>
      <c r="E6">
        <v>47.842105263157897</v>
      </c>
      <c r="F6">
        <v>0.89910178841137922</v>
      </c>
      <c r="G6">
        <v>53.210999999999999</v>
      </c>
      <c r="I6">
        <v>5</v>
      </c>
      <c r="J6" t="s">
        <v>55</v>
      </c>
      <c r="K6" s="4" t="s">
        <v>56</v>
      </c>
      <c r="L6" s="4">
        <v>34</v>
      </c>
      <c r="M6" s="4">
        <v>3437</v>
      </c>
      <c r="N6" s="4">
        <v>101.09</v>
      </c>
      <c r="O6" s="5">
        <v>1.8997999999999999</v>
      </c>
      <c r="P6" s="4">
        <v>5</v>
      </c>
      <c r="Q6" s="4">
        <v>1</v>
      </c>
    </row>
    <row r="7" spans="1:17" x14ac:dyDescent="0.3">
      <c r="B7" t="s">
        <v>8</v>
      </c>
      <c r="C7">
        <v>15</v>
      </c>
      <c r="D7">
        <v>489</v>
      </c>
      <c r="E7">
        <v>32.6</v>
      </c>
      <c r="F7">
        <v>0.61265527804401354</v>
      </c>
      <c r="G7">
        <v>53.210999999999999</v>
      </c>
      <c r="I7">
        <v>6</v>
      </c>
      <c r="J7" t="s">
        <v>59</v>
      </c>
      <c r="K7" s="4" t="s">
        <v>56</v>
      </c>
      <c r="L7" s="4">
        <v>5</v>
      </c>
      <c r="M7" s="4">
        <v>429</v>
      </c>
      <c r="N7" s="4">
        <v>85.8</v>
      </c>
      <c r="O7" s="5">
        <v>1.6124000000000001</v>
      </c>
      <c r="P7" s="4">
        <v>6</v>
      </c>
      <c r="Q7" s="4">
        <v>2</v>
      </c>
    </row>
    <row r="8" spans="1:17" x14ac:dyDescent="0.3">
      <c r="B8" t="s">
        <v>9</v>
      </c>
      <c r="C8">
        <v>3</v>
      </c>
      <c r="D8">
        <v>32</v>
      </c>
      <c r="E8">
        <v>10.666666666666666</v>
      </c>
      <c r="F8">
        <v>0.2004598046769778</v>
      </c>
      <c r="G8">
        <v>53.210999999999999</v>
      </c>
      <c r="I8">
        <v>7</v>
      </c>
      <c r="J8" t="s">
        <v>16</v>
      </c>
      <c r="K8" s="4" t="s">
        <v>56</v>
      </c>
      <c r="L8" s="4">
        <v>16</v>
      </c>
      <c r="M8" s="4">
        <v>828</v>
      </c>
      <c r="N8" s="4">
        <v>51.75</v>
      </c>
      <c r="O8" s="5">
        <v>0.97250000000000003</v>
      </c>
      <c r="P8" s="4">
        <v>7</v>
      </c>
      <c r="Q8" s="4">
        <v>3</v>
      </c>
    </row>
    <row r="9" spans="1:17" x14ac:dyDescent="0.3">
      <c r="B9" t="s">
        <v>10</v>
      </c>
      <c r="D9">
        <v>27970</v>
      </c>
      <c r="I9">
        <v>8</v>
      </c>
      <c r="J9" t="s">
        <v>23</v>
      </c>
      <c r="K9" s="4" t="s">
        <v>56</v>
      </c>
      <c r="L9" s="4">
        <v>5</v>
      </c>
      <c r="M9" s="4">
        <v>247</v>
      </c>
      <c r="N9" s="4">
        <v>49.4</v>
      </c>
      <c r="O9" s="5">
        <v>0.9284</v>
      </c>
      <c r="P9" s="4">
        <v>8</v>
      </c>
      <c r="Q9" s="4">
        <v>4</v>
      </c>
    </row>
    <row r="10" spans="1:17" x14ac:dyDescent="0.3">
      <c r="A10" t="s">
        <v>11</v>
      </c>
      <c r="B10" t="s">
        <v>12</v>
      </c>
      <c r="C10">
        <v>34</v>
      </c>
      <c r="D10">
        <v>3437</v>
      </c>
      <c r="E10">
        <v>101.08823529411765</v>
      </c>
      <c r="F10">
        <v>1.8997619908311751</v>
      </c>
      <c r="G10">
        <v>53.210999999999999</v>
      </c>
      <c r="I10">
        <v>9</v>
      </c>
      <c r="J10" t="s">
        <v>13</v>
      </c>
      <c r="K10" s="4" t="s">
        <v>56</v>
      </c>
      <c r="L10" s="4">
        <v>47</v>
      </c>
      <c r="M10" s="4">
        <v>2279</v>
      </c>
      <c r="N10" s="4">
        <v>48.49</v>
      </c>
      <c r="O10" s="5">
        <v>0.9113</v>
      </c>
      <c r="P10" s="4">
        <v>9</v>
      </c>
      <c r="Q10" s="4">
        <v>5</v>
      </c>
    </row>
    <row r="11" spans="1:17" x14ac:dyDescent="0.3">
      <c r="B11" t="s">
        <v>13</v>
      </c>
      <c r="C11">
        <v>47</v>
      </c>
      <c r="D11">
        <v>2279</v>
      </c>
      <c r="E11">
        <v>48.48936170212766</v>
      </c>
      <c r="F11">
        <v>0.91126574772373492</v>
      </c>
      <c r="G11">
        <v>53.210999999999999</v>
      </c>
      <c r="I11">
        <v>10</v>
      </c>
      <c r="J11" t="s">
        <v>71</v>
      </c>
      <c r="K11" s="4" t="s">
        <v>56</v>
      </c>
      <c r="L11" s="4">
        <v>10</v>
      </c>
      <c r="M11" s="4">
        <v>484</v>
      </c>
      <c r="N11" s="4">
        <v>48.4</v>
      </c>
      <c r="O11" s="5">
        <v>0.90959999999999996</v>
      </c>
      <c r="P11" s="4">
        <v>10</v>
      </c>
      <c r="Q11" s="4">
        <v>6</v>
      </c>
    </row>
    <row r="12" spans="1:17" x14ac:dyDescent="0.3">
      <c r="B12" t="s">
        <v>14</v>
      </c>
      <c r="C12">
        <v>45</v>
      </c>
      <c r="D12">
        <v>1319</v>
      </c>
      <c r="E12">
        <v>29.31111111111111</v>
      </c>
      <c r="F12">
        <v>0.55084683826861192</v>
      </c>
      <c r="G12">
        <v>53.210999999999999</v>
      </c>
      <c r="I12">
        <v>11</v>
      </c>
      <c r="J12" t="s">
        <v>72</v>
      </c>
      <c r="K12" s="4" t="s">
        <v>56</v>
      </c>
      <c r="L12" s="4">
        <v>26</v>
      </c>
      <c r="M12" s="4">
        <v>1257</v>
      </c>
      <c r="N12" s="4">
        <v>48.35</v>
      </c>
      <c r="O12" s="5">
        <v>0.90859999999999996</v>
      </c>
      <c r="P12" s="4">
        <v>11</v>
      </c>
      <c r="Q12" s="4">
        <v>7</v>
      </c>
    </row>
    <row r="13" spans="1:17" x14ac:dyDescent="0.3">
      <c r="B13" t="s">
        <v>15</v>
      </c>
      <c r="C13">
        <v>26</v>
      </c>
      <c r="D13">
        <v>1257</v>
      </c>
      <c r="E13">
        <v>48.346153846153847</v>
      </c>
      <c r="F13">
        <v>0.90857442720779258</v>
      </c>
      <c r="G13">
        <v>53.210999999999999</v>
      </c>
      <c r="I13">
        <v>12</v>
      </c>
      <c r="J13" t="s">
        <v>58</v>
      </c>
      <c r="K13" s="4" t="s">
        <v>53</v>
      </c>
      <c r="L13" s="4">
        <v>19</v>
      </c>
      <c r="M13" s="4">
        <v>909</v>
      </c>
      <c r="N13" s="4">
        <v>47.84</v>
      </c>
      <c r="O13" s="5">
        <v>0.89910000000000001</v>
      </c>
      <c r="P13" s="4">
        <v>12</v>
      </c>
      <c r="Q13" s="4">
        <v>5</v>
      </c>
    </row>
    <row r="14" spans="1:17" x14ac:dyDescent="0.3">
      <c r="B14" t="s">
        <v>16</v>
      </c>
      <c r="C14">
        <v>16</v>
      </c>
      <c r="D14">
        <v>828</v>
      </c>
      <c r="E14">
        <v>51.75</v>
      </c>
      <c r="F14">
        <v>0.9725432711281502</v>
      </c>
      <c r="G14">
        <v>53.210999999999999</v>
      </c>
      <c r="I14">
        <v>13</v>
      </c>
      <c r="J14" t="s">
        <v>73</v>
      </c>
      <c r="K14" s="4" t="s">
        <v>56</v>
      </c>
      <c r="L14" s="4">
        <v>5</v>
      </c>
      <c r="M14" s="4">
        <v>233</v>
      </c>
      <c r="N14" s="4">
        <v>46.6</v>
      </c>
      <c r="O14" s="5">
        <v>0.87580000000000002</v>
      </c>
      <c r="P14" s="4">
        <v>13</v>
      </c>
      <c r="Q14" s="4">
        <v>8</v>
      </c>
    </row>
    <row r="15" spans="1:17" x14ac:dyDescent="0.3">
      <c r="B15" t="s">
        <v>17</v>
      </c>
      <c r="C15">
        <v>22</v>
      </c>
      <c r="D15">
        <v>726</v>
      </c>
      <c r="E15">
        <v>33</v>
      </c>
      <c r="F15">
        <v>0.6201725207194001</v>
      </c>
      <c r="G15">
        <v>53.210999999999999</v>
      </c>
      <c r="I15">
        <v>14</v>
      </c>
      <c r="J15" t="s">
        <v>74</v>
      </c>
      <c r="K15" s="4" t="s">
        <v>56</v>
      </c>
      <c r="L15" s="4">
        <v>7</v>
      </c>
      <c r="M15" s="4">
        <v>285</v>
      </c>
      <c r="N15" s="4">
        <v>40.71</v>
      </c>
      <c r="O15" s="5">
        <v>0.7651</v>
      </c>
      <c r="P15" s="4">
        <v>14</v>
      </c>
      <c r="Q15" s="4">
        <v>9</v>
      </c>
    </row>
    <row r="16" spans="1:17" x14ac:dyDescent="0.3">
      <c r="B16" t="s">
        <v>18</v>
      </c>
      <c r="C16">
        <v>16</v>
      </c>
      <c r="D16">
        <v>206</v>
      </c>
      <c r="E16">
        <v>12.875</v>
      </c>
      <c r="F16">
        <v>0.24196124861400839</v>
      </c>
      <c r="G16">
        <v>53.210999999999999</v>
      </c>
      <c r="I16">
        <v>15</v>
      </c>
      <c r="J16" t="s">
        <v>17</v>
      </c>
      <c r="K16" s="4" t="s">
        <v>56</v>
      </c>
      <c r="L16" s="4">
        <v>22</v>
      </c>
      <c r="M16" s="4">
        <v>726</v>
      </c>
      <c r="N16" s="4">
        <v>33</v>
      </c>
      <c r="O16" s="5">
        <v>0.62019999999999997</v>
      </c>
      <c r="P16" s="4">
        <v>15</v>
      </c>
      <c r="Q16" s="4">
        <v>10</v>
      </c>
    </row>
    <row r="17" spans="1:17" x14ac:dyDescent="0.3">
      <c r="B17" t="s">
        <v>19</v>
      </c>
      <c r="C17">
        <v>10</v>
      </c>
      <c r="D17">
        <v>484</v>
      </c>
      <c r="E17">
        <v>48.4</v>
      </c>
      <c r="F17">
        <v>0.90958636372178681</v>
      </c>
      <c r="G17">
        <v>53.210999999999999</v>
      </c>
      <c r="I17">
        <v>16</v>
      </c>
      <c r="J17" t="s">
        <v>8</v>
      </c>
      <c r="K17" s="4" t="s">
        <v>53</v>
      </c>
      <c r="L17" s="4">
        <v>15</v>
      </c>
      <c r="M17" s="4">
        <v>489</v>
      </c>
      <c r="N17" s="4">
        <v>32.6</v>
      </c>
      <c r="O17" s="5">
        <v>0.61270000000000002</v>
      </c>
      <c r="P17" s="4">
        <v>16</v>
      </c>
      <c r="Q17" s="4">
        <v>6</v>
      </c>
    </row>
    <row r="18" spans="1:17" x14ac:dyDescent="0.3">
      <c r="B18" t="s">
        <v>20</v>
      </c>
      <c r="C18">
        <v>7</v>
      </c>
      <c r="D18">
        <v>285</v>
      </c>
      <c r="E18">
        <v>40.714285714285715</v>
      </c>
      <c r="F18">
        <v>0.76514791517328595</v>
      </c>
      <c r="G18">
        <v>53.210999999999999</v>
      </c>
      <c r="I18">
        <v>17</v>
      </c>
      <c r="J18" t="s">
        <v>14</v>
      </c>
      <c r="K18" s="4" t="s">
        <v>56</v>
      </c>
      <c r="L18" s="4">
        <v>45</v>
      </c>
      <c r="M18" s="4">
        <v>1319</v>
      </c>
      <c r="N18" s="4">
        <v>29.31</v>
      </c>
      <c r="O18" s="5">
        <v>0.55079999999999996</v>
      </c>
      <c r="P18" s="4">
        <v>17</v>
      </c>
      <c r="Q18" s="4">
        <v>11</v>
      </c>
    </row>
    <row r="19" spans="1:17" x14ac:dyDescent="0.3">
      <c r="B19" t="s">
        <v>21</v>
      </c>
      <c r="C19">
        <v>5</v>
      </c>
      <c r="D19">
        <v>429</v>
      </c>
      <c r="E19">
        <v>85.8</v>
      </c>
      <c r="F19">
        <v>1.6124485538704403</v>
      </c>
      <c r="G19">
        <v>53.210999999999999</v>
      </c>
      <c r="I19">
        <v>18</v>
      </c>
      <c r="J19" t="s">
        <v>60</v>
      </c>
      <c r="K19" s="4" t="s">
        <v>61</v>
      </c>
      <c r="L19" s="4">
        <v>27</v>
      </c>
      <c r="M19" s="4">
        <v>453</v>
      </c>
      <c r="N19" s="4">
        <v>16.78</v>
      </c>
      <c r="O19" s="5">
        <v>0.31530000000000002</v>
      </c>
      <c r="P19" s="4">
        <v>18</v>
      </c>
      <c r="Q19" s="4">
        <v>1</v>
      </c>
    </row>
    <row r="20" spans="1:17" x14ac:dyDescent="0.3">
      <c r="B20" t="s">
        <v>22</v>
      </c>
      <c r="C20">
        <v>5</v>
      </c>
      <c r="D20">
        <v>233</v>
      </c>
      <c r="E20">
        <v>46.6</v>
      </c>
      <c r="F20">
        <v>0.8757587716825469</v>
      </c>
      <c r="G20">
        <v>53.210999999999999</v>
      </c>
      <c r="I20">
        <v>19</v>
      </c>
      <c r="J20" t="s">
        <v>75</v>
      </c>
      <c r="K20" s="4" t="s">
        <v>61</v>
      </c>
      <c r="L20" s="4">
        <v>24</v>
      </c>
      <c r="M20" s="4">
        <v>340</v>
      </c>
      <c r="N20" s="4">
        <v>14.17</v>
      </c>
      <c r="O20" s="5">
        <v>0.26619999999999999</v>
      </c>
      <c r="P20" s="4">
        <v>19</v>
      </c>
      <c r="Q20" s="4">
        <v>2</v>
      </c>
    </row>
    <row r="21" spans="1:17" x14ac:dyDescent="0.3">
      <c r="B21" t="s">
        <v>23</v>
      </c>
      <c r="C21">
        <v>5</v>
      </c>
      <c r="D21">
        <v>247</v>
      </c>
      <c r="E21">
        <v>49.4</v>
      </c>
      <c r="F21">
        <v>0.92837947041025348</v>
      </c>
      <c r="G21">
        <v>53.210999999999999</v>
      </c>
      <c r="I21">
        <v>20</v>
      </c>
      <c r="J21" t="s">
        <v>18</v>
      </c>
      <c r="K21" s="4" t="s">
        <v>56</v>
      </c>
      <c r="L21" s="4">
        <v>16</v>
      </c>
      <c r="M21" s="4">
        <v>206</v>
      </c>
      <c r="N21" s="4">
        <v>12.88</v>
      </c>
      <c r="O21" s="5">
        <v>0.24199999999999999</v>
      </c>
      <c r="P21" s="4">
        <v>20</v>
      </c>
      <c r="Q21" s="4">
        <v>12</v>
      </c>
    </row>
    <row r="22" spans="1:17" x14ac:dyDescent="0.3">
      <c r="B22" t="s">
        <v>24</v>
      </c>
      <c r="D22">
        <v>11730</v>
      </c>
      <c r="I22">
        <v>21</v>
      </c>
      <c r="J22" t="s">
        <v>76</v>
      </c>
      <c r="K22" s="4" t="s">
        <v>61</v>
      </c>
      <c r="L22" s="4">
        <v>5</v>
      </c>
      <c r="M22" s="4">
        <v>60</v>
      </c>
      <c r="N22" s="4">
        <v>12</v>
      </c>
      <c r="O22" s="5">
        <v>0.22550000000000001</v>
      </c>
      <c r="P22" s="4">
        <v>21</v>
      </c>
      <c r="Q22" s="4">
        <v>3</v>
      </c>
    </row>
    <row r="23" spans="1:17" x14ac:dyDescent="0.3">
      <c r="A23" t="s">
        <v>25</v>
      </c>
      <c r="B23" t="s">
        <v>26</v>
      </c>
      <c r="C23">
        <v>27</v>
      </c>
      <c r="D23">
        <v>453</v>
      </c>
      <c r="E23">
        <v>16.777777777777779</v>
      </c>
      <c r="F23">
        <v>0.31530656777316307</v>
      </c>
      <c r="G23">
        <v>53.210999999999999</v>
      </c>
      <c r="I23">
        <v>22</v>
      </c>
      <c r="J23" t="s">
        <v>62</v>
      </c>
      <c r="K23" s="4" t="s">
        <v>53</v>
      </c>
      <c r="L23" s="4">
        <v>3</v>
      </c>
      <c r="M23" s="4">
        <v>32</v>
      </c>
      <c r="N23" s="4">
        <v>10.67</v>
      </c>
      <c r="O23" s="5">
        <v>0.20050000000000001</v>
      </c>
      <c r="P23" s="4">
        <v>22</v>
      </c>
      <c r="Q23" s="4">
        <v>7</v>
      </c>
    </row>
    <row r="24" spans="1:17" x14ac:dyDescent="0.3">
      <c r="B24" t="s">
        <v>27</v>
      </c>
      <c r="C24">
        <v>24</v>
      </c>
      <c r="D24">
        <v>340</v>
      </c>
      <c r="E24">
        <v>14.166666666666666</v>
      </c>
      <c r="F24">
        <v>0.26623567808661114</v>
      </c>
      <c r="G24">
        <v>53.210999999999999</v>
      </c>
      <c r="I24">
        <v>23</v>
      </c>
      <c r="J24" t="s">
        <v>77</v>
      </c>
      <c r="K24" s="4" t="s">
        <v>61</v>
      </c>
      <c r="L24" s="4">
        <v>19</v>
      </c>
      <c r="M24" s="4">
        <v>117</v>
      </c>
      <c r="N24" s="4">
        <v>6.16</v>
      </c>
      <c r="O24" s="5">
        <v>0.1157</v>
      </c>
      <c r="P24" s="4">
        <v>23</v>
      </c>
      <c r="Q24" s="4">
        <v>4</v>
      </c>
    </row>
    <row r="25" spans="1:17" x14ac:dyDescent="0.3">
      <c r="B25" t="s">
        <v>28</v>
      </c>
      <c r="C25">
        <v>19</v>
      </c>
      <c r="D25">
        <v>117</v>
      </c>
      <c r="E25">
        <v>6.1578947368421053</v>
      </c>
      <c r="F25">
        <v>0.11572597276582108</v>
      </c>
      <c r="G25">
        <v>53.210999999999999</v>
      </c>
      <c r="I25">
        <v>24</v>
      </c>
      <c r="J25" t="s">
        <v>78</v>
      </c>
      <c r="K25" s="4" t="s">
        <v>61</v>
      </c>
      <c r="L25" s="4">
        <v>17</v>
      </c>
      <c r="M25" s="4">
        <v>76</v>
      </c>
      <c r="N25" s="4">
        <v>4.47</v>
      </c>
      <c r="O25" s="5">
        <v>8.4000000000000005E-2</v>
      </c>
      <c r="P25" s="4">
        <v>24</v>
      </c>
      <c r="Q25" s="4">
        <v>5</v>
      </c>
    </row>
    <row r="26" spans="1:17" x14ac:dyDescent="0.3">
      <c r="B26" t="s">
        <v>29</v>
      </c>
      <c r="C26">
        <v>17</v>
      </c>
      <c r="D26">
        <v>76</v>
      </c>
      <c r="E26">
        <v>4.4705882352941178</v>
      </c>
      <c r="F26">
        <v>8.4016241666086289E-2</v>
      </c>
      <c r="G26">
        <v>53.210999999999999</v>
      </c>
    </row>
    <row r="27" spans="1:17" x14ac:dyDescent="0.3">
      <c r="B27" t="s">
        <v>30</v>
      </c>
      <c r="C27">
        <v>5</v>
      </c>
      <c r="D27">
        <v>60</v>
      </c>
      <c r="E27">
        <v>12</v>
      </c>
      <c r="F27">
        <v>0.22551728026160006</v>
      </c>
      <c r="G27">
        <v>53.210999999999999</v>
      </c>
    </row>
    <row r="28" spans="1:17" x14ac:dyDescent="0.3">
      <c r="B28" t="s">
        <v>31</v>
      </c>
      <c r="D28">
        <v>1046</v>
      </c>
    </row>
    <row r="29" spans="1:17" x14ac:dyDescent="0.3">
      <c r="B29" t="s">
        <v>32</v>
      </c>
      <c r="D29">
        <v>40746</v>
      </c>
      <c r="E29">
        <v>627.73300162170131</v>
      </c>
    </row>
    <row r="30" spans="1:17" x14ac:dyDescent="0.3">
      <c r="E30">
        <v>595.774147667796</v>
      </c>
    </row>
    <row r="31" spans="1:17" x14ac:dyDescent="0.3">
      <c r="E31">
        <v>53.572927416580661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BFF1-C35D-499D-BB3E-BD18B12AE99A}">
  <dimension ref="A1:E5"/>
  <sheetViews>
    <sheetView workbookViewId="0">
      <selection activeCell="J15" sqref="J15"/>
    </sheetView>
  </sheetViews>
  <sheetFormatPr defaultRowHeight="14.4" x14ac:dyDescent="0.3"/>
  <cols>
    <col min="5" max="5" width="10.5546875" bestFit="1" customWidth="1"/>
  </cols>
  <sheetData>
    <row r="1" spans="1:5" x14ac:dyDescent="0.3">
      <c r="A1" t="s">
        <v>0</v>
      </c>
      <c r="B1" t="s">
        <v>80</v>
      </c>
      <c r="C1" t="s">
        <v>34</v>
      </c>
      <c r="D1" t="s">
        <v>35</v>
      </c>
      <c r="E1" t="s">
        <v>41</v>
      </c>
    </row>
    <row r="2" spans="1:5" x14ac:dyDescent="0.3">
      <c r="A2" t="s">
        <v>2</v>
      </c>
      <c r="B2">
        <v>7</v>
      </c>
      <c r="C2">
        <v>27970</v>
      </c>
      <c r="D2">
        <v>13454</v>
      </c>
      <c r="E2" s="2">
        <v>68.644774947234083</v>
      </c>
    </row>
    <row r="3" spans="1:5" x14ac:dyDescent="0.3">
      <c r="A3" t="s">
        <v>11</v>
      </c>
      <c r="B3">
        <v>12</v>
      </c>
      <c r="C3">
        <v>11730</v>
      </c>
      <c r="D3">
        <v>5520</v>
      </c>
      <c r="E3" s="2">
        <v>28.788101899572965</v>
      </c>
    </row>
    <row r="4" spans="1:5" x14ac:dyDescent="0.3">
      <c r="A4" t="s">
        <v>25</v>
      </c>
      <c r="B4">
        <v>5</v>
      </c>
      <c r="C4">
        <v>1046</v>
      </c>
      <c r="D4">
        <v>505</v>
      </c>
      <c r="E4" s="2">
        <v>2.5671231531929513</v>
      </c>
    </row>
    <row r="5" spans="1:5" x14ac:dyDescent="0.3">
      <c r="B5">
        <f>SUM(B2:B4)</f>
        <v>24</v>
      </c>
      <c r="C5">
        <f t="shared" ref="C5:E5" si="0">SUM(C2:C4)</f>
        <v>40746</v>
      </c>
      <c r="D5">
        <f t="shared" si="0"/>
        <v>19479</v>
      </c>
      <c r="E5">
        <f t="shared" si="0"/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DABB-04B5-4EDF-8BB1-E6DAA01531A9}">
  <dimension ref="A1:E5"/>
  <sheetViews>
    <sheetView workbookViewId="0">
      <selection sqref="A1:E5"/>
    </sheetView>
  </sheetViews>
  <sheetFormatPr defaultRowHeight="14.4" x14ac:dyDescent="0.3"/>
  <cols>
    <col min="5" max="5" width="9.5546875" bestFit="1" customWidth="1"/>
  </cols>
  <sheetData>
    <row r="1" spans="1:5" x14ac:dyDescent="0.3">
      <c r="A1" t="s">
        <v>0</v>
      </c>
      <c r="B1" t="s">
        <v>80</v>
      </c>
      <c r="C1" t="s">
        <v>34</v>
      </c>
      <c r="D1" t="s">
        <v>35</v>
      </c>
      <c r="E1" t="s">
        <v>81</v>
      </c>
    </row>
    <row r="2" spans="1:5" x14ac:dyDescent="0.3">
      <c r="A2" t="s">
        <v>2</v>
      </c>
      <c r="B2">
        <v>7</v>
      </c>
      <c r="C2">
        <v>27970</v>
      </c>
      <c r="D2">
        <v>13454</v>
      </c>
      <c r="E2" s="2">
        <v>3995.7142857142858</v>
      </c>
    </row>
    <row r="3" spans="1:5" x14ac:dyDescent="0.3">
      <c r="A3" t="s">
        <v>11</v>
      </c>
      <c r="B3">
        <v>12</v>
      </c>
      <c r="C3">
        <v>11730</v>
      </c>
      <c r="D3">
        <v>5520</v>
      </c>
      <c r="E3" s="2">
        <v>977.5</v>
      </c>
    </row>
    <row r="4" spans="1:5" x14ac:dyDescent="0.3">
      <c r="A4" t="s">
        <v>25</v>
      </c>
      <c r="B4">
        <v>5</v>
      </c>
      <c r="C4">
        <v>1046</v>
      </c>
      <c r="D4">
        <v>505</v>
      </c>
      <c r="E4" s="2">
        <v>209.2</v>
      </c>
    </row>
    <row r="5" spans="1:5" x14ac:dyDescent="0.3">
      <c r="A5" t="s">
        <v>82</v>
      </c>
      <c r="B5">
        <f>SUM(B2:B4)</f>
        <v>24</v>
      </c>
      <c r="C5">
        <f t="shared" ref="C5:D5" si="0">SUM(C2:C4)</f>
        <v>40746</v>
      </c>
      <c r="D5">
        <f t="shared" si="0"/>
        <v>19479</v>
      </c>
      <c r="E5" s="2">
        <f>AVERAGE(E2:E4)</f>
        <v>1727.4714285714288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5C35-9030-4CCD-AC0B-E4742AA6CF93}">
  <dimension ref="A1:E5"/>
  <sheetViews>
    <sheetView workbookViewId="0">
      <selection sqref="A1:E5"/>
    </sheetView>
  </sheetViews>
  <sheetFormatPr defaultRowHeight="14.4" x14ac:dyDescent="0.3"/>
  <cols>
    <col min="5" max="5" width="9.5546875" bestFit="1" customWidth="1"/>
  </cols>
  <sheetData>
    <row r="1" spans="1:5" x14ac:dyDescent="0.3">
      <c r="A1" t="s">
        <v>0</v>
      </c>
      <c r="B1" t="s">
        <v>80</v>
      </c>
      <c r="C1" t="s">
        <v>34</v>
      </c>
      <c r="D1" t="s">
        <v>35</v>
      </c>
      <c r="E1" t="s">
        <v>44</v>
      </c>
    </row>
    <row r="2" spans="1:5" x14ac:dyDescent="0.3">
      <c r="A2" t="s">
        <v>2</v>
      </c>
      <c r="B2">
        <v>7</v>
      </c>
      <c r="C2">
        <v>27970</v>
      </c>
      <c r="D2">
        <v>13454</v>
      </c>
      <c r="E2" s="1">
        <v>2.078935632525643</v>
      </c>
    </row>
    <row r="3" spans="1:5" x14ac:dyDescent="0.3">
      <c r="A3" t="s">
        <v>11</v>
      </c>
      <c r="B3">
        <v>12</v>
      </c>
      <c r="C3">
        <v>11730</v>
      </c>
      <c r="D3">
        <v>5520</v>
      </c>
      <c r="E3" s="1">
        <v>2.125</v>
      </c>
    </row>
    <row r="4" spans="1:5" x14ac:dyDescent="0.3">
      <c r="A4" t="s">
        <v>25</v>
      </c>
      <c r="B4">
        <v>5</v>
      </c>
      <c r="C4">
        <v>1046</v>
      </c>
      <c r="D4">
        <v>505</v>
      </c>
      <c r="E4" s="1">
        <v>2.0712871287128714</v>
      </c>
    </row>
    <row r="5" spans="1:5" x14ac:dyDescent="0.3">
      <c r="B5">
        <f>SUM(B2:B4)</f>
        <v>24</v>
      </c>
      <c r="C5">
        <f t="shared" ref="C5:D5" si="0">SUM(C2:C4)</f>
        <v>40746</v>
      </c>
      <c r="D5">
        <f t="shared" si="0"/>
        <v>19479</v>
      </c>
      <c r="E5" s="1">
        <f>AVERAGE(E2:E4)</f>
        <v>2.0917409204128381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E1DD-7938-4BCC-AEF5-6047C7A7196D}">
  <dimension ref="A1:P27"/>
  <sheetViews>
    <sheetView topLeftCell="A11" workbookViewId="0">
      <selection activeCell="I1" sqref="I1:P25"/>
    </sheetView>
  </sheetViews>
  <sheetFormatPr defaultRowHeight="14.4" x14ac:dyDescent="0.3"/>
  <cols>
    <col min="3" max="3" width="9.5546875" bestFit="1" customWidth="1"/>
    <col min="4" max="4" width="11.5546875" bestFit="1" customWidth="1"/>
    <col min="5" max="6" width="9.5546875" bestFit="1" customWidth="1"/>
  </cols>
  <sheetData>
    <row r="1" spans="1:16" x14ac:dyDescent="0.3">
      <c r="A1" t="s">
        <v>0</v>
      </c>
      <c r="B1" t="s">
        <v>1</v>
      </c>
      <c r="C1" t="s">
        <v>37</v>
      </c>
      <c r="D1" t="s">
        <v>38</v>
      </c>
      <c r="E1" t="s">
        <v>40</v>
      </c>
      <c r="F1" t="s">
        <v>45</v>
      </c>
      <c r="I1" t="s">
        <v>1</v>
      </c>
      <c r="J1" t="s">
        <v>0</v>
      </c>
      <c r="K1" t="s">
        <v>83</v>
      </c>
      <c r="L1" t="s">
        <v>69</v>
      </c>
      <c r="M1" t="s">
        <v>66</v>
      </c>
      <c r="N1" t="s">
        <v>45</v>
      </c>
      <c r="O1" t="s">
        <v>51</v>
      </c>
      <c r="P1" t="s">
        <v>79</v>
      </c>
    </row>
    <row r="2" spans="1:16" x14ac:dyDescent="0.3">
      <c r="A2" t="s">
        <v>2</v>
      </c>
      <c r="B2" t="s">
        <v>3</v>
      </c>
      <c r="C2" s="1">
        <v>2.2064336959037258</v>
      </c>
      <c r="D2" s="1">
        <v>170.25</v>
      </c>
      <c r="E2" s="1">
        <v>3.9400601712566534E-2</v>
      </c>
      <c r="F2" s="1">
        <v>68.990453598704022</v>
      </c>
      <c r="I2" t="s">
        <v>3</v>
      </c>
      <c r="J2" t="s">
        <v>53</v>
      </c>
      <c r="K2" s="1">
        <v>2.206</v>
      </c>
      <c r="L2" s="1">
        <v>170.25</v>
      </c>
      <c r="M2" s="1">
        <v>3.9E-2</v>
      </c>
      <c r="N2" s="1">
        <v>68.989999999999995</v>
      </c>
      <c r="O2">
        <v>1</v>
      </c>
      <c r="P2">
        <v>1</v>
      </c>
    </row>
    <row r="3" spans="1:16" x14ac:dyDescent="0.3">
      <c r="B3" t="s">
        <v>4</v>
      </c>
      <c r="C3" s="1">
        <v>1.8036939313984168</v>
      </c>
      <c r="D3" s="1">
        <v>134.0392156862745</v>
      </c>
      <c r="E3" s="1">
        <v>3.5366547674478763E-2</v>
      </c>
      <c r="F3" s="1">
        <v>54.344237156604066</v>
      </c>
      <c r="I3" t="s">
        <v>4</v>
      </c>
      <c r="J3" t="s">
        <v>53</v>
      </c>
      <c r="K3" s="1">
        <v>1.804</v>
      </c>
      <c r="L3" s="1">
        <v>134.03899999999999</v>
      </c>
      <c r="M3" s="1">
        <v>3.5000000000000003E-2</v>
      </c>
      <c r="N3" s="1">
        <v>54.344000000000001</v>
      </c>
      <c r="O3">
        <v>2</v>
      </c>
      <c r="P3">
        <v>2</v>
      </c>
    </row>
    <row r="4" spans="1:16" x14ac:dyDescent="0.3">
      <c r="B4" t="s">
        <v>5</v>
      </c>
      <c r="C4" s="1">
        <v>2.1934503713706954</v>
      </c>
      <c r="D4" s="1">
        <v>127.3921568627451</v>
      </c>
      <c r="E4" s="1">
        <v>4.3008830811190106E-2</v>
      </c>
      <c r="F4" s="1">
        <v>51.842844659808556</v>
      </c>
      <c r="I4" t="s">
        <v>54</v>
      </c>
      <c r="J4" t="s">
        <v>53</v>
      </c>
      <c r="K4" s="1">
        <v>2.1930000000000001</v>
      </c>
      <c r="L4" s="1">
        <v>127.392</v>
      </c>
      <c r="M4" s="1">
        <v>4.2999999999999997E-2</v>
      </c>
      <c r="N4" s="1">
        <v>51.843000000000004</v>
      </c>
      <c r="O4">
        <v>3</v>
      </c>
      <c r="P4">
        <v>3</v>
      </c>
    </row>
    <row r="5" spans="1:16" x14ac:dyDescent="0.3">
      <c r="B5" t="s">
        <v>6</v>
      </c>
      <c r="C5" s="1">
        <v>1.9537234042553191</v>
      </c>
      <c r="D5" s="1">
        <v>104.94285714285714</v>
      </c>
      <c r="E5" s="1">
        <v>5.5820668693009119E-2</v>
      </c>
      <c r="F5" s="1">
        <v>42.76979635258359</v>
      </c>
      <c r="I5" t="s">
        <v>6</v>
      </c>
      <c r="J5" t="s">
        <v>53</v>
      </c>
      <c r="K5" s="1">
        <v>1.954</v>
      </c>
      <c r="L5" s="1">
        <v>104.943</v>
      </c>
      <c r="M5" s="1">
        <v>5.6000000000000001E-2</v>
      </c>
      <c r="N5" s="1">
        <v>42.77</v>
      </c>
      <c r="O5">
        <v>4</v>
      </c>
      <c r="P5">
        <v>4</v>
      </c>
    </row>
    <row r="6" spans="1:16" x14ac:dyDescent="0.3">
      <c r="B6" t="s">
        <v>7</v>
      </c>
      <c r="C6" s="1">
        <v>3.0918367346938775</v>
      </c>
      <c r="D6" s="1">
        <v>47.842105263157897</v>
      </c>
      <c r="E6" s="1">
        <v>0.16272824919441461</v>
      </c>
      <c r="F6" s="1">
        <v>20.406122448979595</v>
      </c>
      <c r="I6" t="s">
        <v>55</v>
      </c>
      <c r="J6" t="s">
        <v>56</v>
      </c>
      <c r="K6" s="1">
        <v>1.87</v>
      </c>
      <c r="L6" s="1">
        <v>101.08799999999999</v>
      </c>
      <c r="M6" s="1">
        <v>5.5E-2</v>
      </c>
      <c r="N6" s="1">
        <v>41.194000000000003</v>
      </c>
      <c r="O6">
        <v>5</v>
      </c>
      <c r="P6">
        <v>1</v>
      </c>
    </row>
    <row r="7" spans="1:16" x14ac:dyDescent="0.3">
      <c r="B7" t="s">
        <v>8</v>
      </c>
      <c r="C7" s="1">
        <v>2.6868131868131866</v>
      </c>
      <c r="D7" s="1">
        <v>32.6</v>
      </c>
      <c r="E7" s="1">
        <v>0.17912087912087912</v>
      </c>
      <c r="F7" s="1">
        <v>14.150549450549452</v>
      </c>
      <c r="I7" t="s">
        <v>59</v>
      </c>
      <c r="J7" t="s">
        <v>56</v>
      </c>
      <c r="K7" s="1">
        <v>1.7509999999999999</v>
      </c>
      <c r="L7" s="1">
        <v>85.8</v>
      </c>
      <c r="M7" s="1">
        <v>0.35</v>
      </c>
      <c r="N7" s="1">
        <v>35.090000000000003</v>
      </c>
      <c r="O7">
        <v>6</v>
      </c>
      <c r="P7">
        <v>2</v>
      </c>
    </row>
    <row r="8" spans="1:16" x14ac:dyDescent="0.3">
      <c r="B8" t="s">
        <v>9</v>
      </c>
      <c r="C8" s="1">
        <v>1.28</v>
      </c>
      <c r="D8" s="1">
        <v>10.666666666666666</v>
      </c>
      <c r="E8" s="1">
        <v>0.42666666666666669</v>
      </c>
      <c r="F8" s="1">
        <v>4.8639999999999999</v>
      </c>
      <c r="I8" t="s">
        <v>71</v>
      </c>
      <c r="J8" t="s">
        <v>56</v>
      </c>
      <c r="K8" s="1">
        <v>7.6829999999999998</v>
      </c>
      <c r="L8" s="1">
        <v>48.4</v>
      </c>
      <c r="M8" s="1">
        <v>0.76800000000000002</v>
      </c>
      <c r="N8" s="1">
        <v>22.587</v>
      </c>
      <c r="O8">
        <v>7</v>
      </c>
      <c r="P8">
        <v>3</v>
      </c>
    </row>
    <row r="9" spans="1:16" x14ac:dyDescent="0.3">
      <c r="B9" t="s">
        <v>10</v>
      </c>
      <c r="C9" s="1"/>
      <c r="D9" s="1"/>
      <c r="E9" s="1"/>
      <c r="F9" s="1"/>
      <c r="I9" t="s">
        <v>16</v>
      </c>
      <c r="J9" t="s">
        <v>56</v>
      </c>
      <c r="K9" s="1">
        <v>2.742</v>
      </c>
      <c r="L9" s="1">
        <v>51.75</v>
      </c>
      <c r="M9" s="1">
        <v>0.17100000000000001</v>
      </c>
      <c r="N9" s="1">
        <v>21.831</v>
      </c>
      <c r="O9">
        <v>8</v>
      </c>
      <c r="P9">
        <v>4</v>
      </c>
    </row>
    <row r="10" spans="1:16" x14ac:dyDescent="0.3">
      <c r="A10" t="s">
        <v>11</v>
      </c>
      <c r="B10" t="s">
        <v>12</v>
      </c>
      <c r="C10" s="1">
        <v>1.8699673558215451</v>
      </c>
      <c r="D10" s="1">
        <v>101.08823529411765</v>
      </c>
      <c r="E10" s="1">
        <v>5.4999039877104271E-2</v>
      </c>
      <c r="F10" s="1">
        <v>41.1942808679511</v>
      </c>
      <c r="I10" t="s">
        <v>23</v>
      </c>
      <c r="J10" t="s">
        <v>56</v>
      </c>
      <c r="K10" s="1">
        <v>1.752</v>
      </c>
      <c r="L10" s="1">
        <v>49.4</v>
      </c>
      <c r="M10" s="1">
        <v>0.35</v>
      </c>
      <c r="N10" s="1">
        <v>20.530999999999999</v>
      </c>
      <c r="O10">
        <v>9</v>
      </c>
      <c r="P10">
        <v>5</v>
      </c>
    </row>
    <row r="11" spans="1:16" x14ac:dyDescent="0.3">
      <c r="B11" t="s">
        <v>13</v>
      </c>
      <c r="C11" s="1">
        <v>2.15</v>
      </c>
      <c r="D11" s="1">
        <v>48.48936170212766</v>
      </c>
      <c r="E11" s="1">
        <v>4.5744680851063826E-2</v>
      </c>
      <c r="F11" s="1">
        <v>20.264893617021279</v>
      </c>
      <c r="I11" t="s">
        <v>58</v>
      </c>
      <c r="J11" t="s">
        <v>53</v>
      </c>
      <c r="K11" s="1">
        <v>3.0920000000000001</v>
      </c>
      <c r="L11" s="1">
        <v>47.841999999999999</v>
      </c>
      <c r="M11" s="1">
        <v>0.16300000000000001</v>
      </c>
      <c r="N11" s="1">
        <v>20.405999999999999</v>
      </c>
      <c r="O11">
        <v>10</v>
      </c>
      <c r="P11">
        <v>5</v>
      </c>
    </row>
    <row r="12" spans="1:16" x14ac:dyDescent="0.3">
      <c r="B12" t="s">
        <v>14</v>
      </c>
      <c r="C12" s="1">
        <v>1.8168044077134986</v>
      </c>
      <c r="D12" s="1">
        <v>29.31111111111111</v>
      </c>
      <c r="E12" s="1">
        <v>4.0373431282522194E-2</v>
      </c>
      <c r="F12" s="1">
        <v>12.459240893786347</v>
      </c>
      <c r="I12" t="s">
        <v>13</v>
      </c>
      <c r="J12" t="s">
        <v>56</v>
      </c>
      <c r="K12" s="1">
        <v>2.15</v>
      </c>
      <c r="L12" s="1">
        <v>48.488999999999997</v>
      </c>
      <c r="M12" s="1">
        <v>4.5999999999999999E-2</v>
      </c>
      <c r="N12" s="1">
        <v>20.265000000000001</v>
      </c>
      <c r="O12">
        <v>11</v>
      </c>
      <c r="P12">
        <v>6</v>
      </c>
    </row>
    <row r="13" spans="1:16" x14ac:dyDescent="0.3">
      <c r="B13" t="s">
        <v>15</v>
      </c>
      <c r="C13" s="1">
        <v>2.3806818181818183</v>
      </c>
      <c r="D13" s="1">
        <v>48.346153846153847</v>
      </c>
      <c r="E13" s="1">
        <v>9.1564685314685312E-2</v>
      </c>
      <c r="F13" s="1">
        <v>20.309047202797206</v>
      </c>
      <c r="I13" t="s">
        <v>72</v>
      </c>
      <c r="J13" t="s">
        <v>56</v>
      </c>
      <c r="K13" s="1">
        <v>2.3809999999999998</v>
      </c>
      <c r="L13" s="1">
        <v>48.345999999999997</v>
      </c>
      <c r="M13" s="1">
        <v>9.1999999999999998E-2</v>
      </c>
      <c r="N13" s="1">
        <v>20.309000000000001</v>
      </c>
      <c r="O13">
        <v>12</v>
      </c>
      <c r="P13">
        <v>7</v>
      </c>
    </row>
    <row r="14" spans="1:16" x14ac:dyDescent="0.3">
      <c r="B14" t="s">
        <v>16</v>
      </c>
      <c r="C14" s="1">
        <v>2.7417218543046356</v>
      </c>
      <c r="D14" s="1">
        <v>51.75</v>
      </c>
      <c r="E14" s="1">
        <v>0.17135761589403972</v>
      </c>
      <c r="F14" s="1">
        <v>21.830960264900668</v>
      </c>
      <c r="I14" t="s">
        <v>73</v>
      </c>
      <c r="J14" t="s">
        <v>56</v>
      </c>
      <c r="K14" s="1">
        <v>1.5429999999999999</v>
      </c>
      <c r="L14" s="1">
        <v>46.6</v>
      </c>
      <c r="M14" s="1">
        <v>0.309</v>
      </c>
      <c r="N14" s="1">
        <v>19.318999999999999</v>
      </c>
      <c r="O14">
        <v>13</v>
      </c>
      <c r="P14">
        <v>8</v>
      </c>
    </row>
    <row r="15" spans="1:16" x14ac:dyDescent="0.3">
      <c r="B15" t="s">
        <v>17</v>
      </c>
      <c r="C15" s="1">
        <v>2.5744680851063828</v>
      </c>
      <c r="D15" s="1">
        <v>33</v>
      </c>
      <c r="E15" s="1">
        <v>0.11702127659574468</v>
      </c>
      <c r="F15" s="1">
        <v>14.253191489361702</v>
      </c>
      <c r="I15" t="s">
        <v>74</v>
      </c>
      <c r="J15" t="s">
        <v>56</v>
      </c>
      <c r="K15" s="1">
        <v>5.9379999999999997</v>
      </c>
      <c r="L15" s="1">
        <v>40.713999999999999</v>
      </c>
      <c r="M15" s="1">
        <v>0.84799999999999998</v>
      </c>
      <c r="N15" s="1">
        <v>18.829999999999998</v>
      </c>
      <c r="O15">
        <v>14</v>
      </c>
      <c r="P15">
        <v>9</v>
      </c>
    </row>
    <row r="16" spans="1:16" x14ac:dyDescent="0.3">
      <c r="B16" t="s">
        <v>18</v>
      </c>
      <c r="C16" s="1">
        <v>1.5147058823529411</v>
      </c>
      <c r="D16" s="1">
        <v>12.875</v>
      </c>
      <c r="E16" s="1">
        <v>9.466911764705882E-2</v>
      </c>
      <c r="F16" s="1">
        <v>5.7748161764705879</v>
      </c>
      <c r="I16" t="s">
        <v>8</v>
      </c>
      <c r="J16" t="s">
        <v>53</v>
      </c>
      <c r="K16" s="1">
        <v>2.6869999999999998</v>
      </c>
      <c r="L16" s="1">
        <v>32.6</v>
      </c>
      <c r="M16" s="1">
        <v>0.17899999999999999</v>
      </c>
      <c r="N16" s="1">
        <v>14.151</v>
      </c>
      <c r="O16">
        <v>15</v>
      </c>
      <c r="P16">
        <v>6</v>
      </c>
    </row>
    <row r="17" spans="1:16" x14ac:dyDescent="0.3">
      <c r="B17" t="s">
        <v>19</v>
      </c>
      <c r="C17" s="1">
        <v>7.6825396825396828</v>
      </c>
      <c r="D17" s="1">
        <v>48.4</v>
      </c>
      <c r="E17" s="1">
        <v>0.7682539682539683</v>
      </c>
      <c r="F17" s="1">
        <v>22.586666666666666</v>
      </c>
      <c r="I17" t="s">
        <v>17</v>
      </c>
      <c r="J17" t="s">
        <v>56</v>
      </c>
      <c r="K17" s="1">
        <v>2.5739999999999998</v>
      </c>
      <c r="L17" s="1">
        <v>33</v>
      </c>
      <c r="M17" s="1">
        <v>0.11700000000000001</v>
      </c>
      <c r="N17" s="1">
        <v>14.253</v>
      </c>
      <c r="O17">
        <v>16</v>
      </c>
      <c r="P17">
        <v>10</v>
      </c>
    </row>
    <row r="18" spans="1:16" x14ac:dyDescent="0.3">
      <c r="B18" t="s">
        <v>20</v>
      </c>
      <c r="C18" s="1">
        <v>5.9375</v>
      </c>
      <c r="D18" s="1">
        <v>40.714285714285715</v>
      </c>
      <c r="E18" s="1">
        <v>0.8482142857142857</v>
      </c>
      <c r="F18" s="1">
        <v>18.830357142857146</v>
      </c>
      <c r="I18" t="s">
        <v>14</v>
      </c>
      <c r="J18" t="s">
        <v>56</v>
      </c>
      <c r="K18" s="1">
        <v>1.8169999999999999</v>
      </c>
      <c r="L18" s="1">
        <v>29.311</v>
      </c>
      <c r="M18" s="1">
        <v>0.04</v>
      </c>
      <c r="N18" s="1">
        <v>12.459</v>
      </c>
      <c r="O18">
        <v>17</v>
      </c>
      <c r="P18">
        <v>11</v>
      </c>
    </row>
    <row r="19" spans="1:16" x14ac:dyDescent="0.3">
      <c r="B19" t="s">
        <v>21</v>
      </c>
      <c r="C19" s="1">
        <v>1.7510204081632652</v>
      </c>
      <c r="D19" s="1">
        <v>85.8</v>
      </c>
      <c r="E19" s="1">
        <v>0.35020408163265304</v>
      </c>
      <c r="F19" s="1">
        <v>35.090448979591841</v>
      </c>
      <c r="I19" t="s">
        <v>60</v>
      </c>
      <c r="J19" t="s">
        <v>61</v>
      </c>
      <c r="K19" s="1">
        <v>1.716</v>
      </c>
      <c r="L19" s="1">
        <v>16.777999999999999</v>
      </c>
      <c r="M19" s="1">
        <v>6.4000000000000001E-2</v>
      </c>
      <c r="N19" s="1">
        <v>7.41</v>
      </c>
      <c r="O19">
        <v>18</v>
      </c>
      <c r="P19">
        <v>1</v>
      </c>
    </row>
    <row r="20" spans="1:16" x14ac:dyDescent="0.3">
      <c r="B20" t="s">
        <v>22</v>
      </c>
      <c r="C20" s="1">
        <v>1.5430463576158941</v>
      </c>
      <c r="D20" s="1">
        <v>46.6</v>
      </c>
      <c r="E20" s="1">
        <v>0.3086092715231788</v>
      </c>
      <c r="F20" s="1">
        <v>19.318940397350996</v>
      </c>
      <c r="I20" t="s">
        <v>75</v>
      </c>
      <c r="J20" t="s">
        <v>61</v>
      </c>
      <c r="K20" s="1">
        <v>2.2519999999999998</v>
      </c>
      <c r="L20" s="1">
        <v>14.167</v>
      </c>
      <c r="M20" s="1">
        <v>9.4E-2</v>
      </c>
      <c r="N20" s="1">
        <v>6.5860000000000003</v>
      </c>
      <c r="O20">
        <v>19</v>
      </c>
      <c r="P20">
        <v>2</v>
      </c>
    </row>
    <row r="21" spans="1:16" x14ac:dyDescent="0.3">
      <c r="B21" t="s">
        <v>23</v>
      </c>
      <c r="C21" s="1">
        <v>1.75177304964539</v>
      </c>
      <c r="D21" s="1">
        <v>49.4</v>
      </c>
      <c r="E21" s="1">
        <v>0.35035460992907802</v>
      </c>
      <c r="F21" s="1">
        <v>20.530780141843973</v>
      </c>
      <c r="I21" t="s">
        <v>18</v>
      </c>
      <c r="J21" t="s">
        <v>56</v>
      </c>
      <c r="K21" s="1">
        <v>1.5149999999999999</v>
      </c>
      <c r="L21" s="1">
        <v>12.875</v>
      </c>
      <c r="M21" s="1">
        <v>9.5000000000000001E-2</v>
      </c>
      <c r="N21" s="1">
        <v>5.7750000000000004</v>
      </c>
      <c r="O21">
        <v>20</v>
      </c>
      <c r="P21">
        <v>12</v>
      </c>
    </row>
    <row r="22" spans="1:16" x14ac:dyDescent="0.3">
      <c r="B22" t="s">
        <v>24</v>
      </c>
      <c r="C22" s="1"/>
      <c r="D22" s="1"/>
      <c r="E22" s="1"/>
      <c r="F22" s="1"/>
      <c r="I22" t="s">
        <v>76</v>
      </c>
      <c r="J22" t="s">
        <v>61</v>
      </c>
      <c r="K22" s="1">
        <v>2.5</v>
      </c>
      <c r="L22" s="1">
        <v>12</v>
      </c>
      <c r="M22" s="1">
        <v>0.5</v>
      </c>
      <c r="N22" s="1">
        <v>5.9</v>
      </c>
      <c r="O22">
        <v>21</v>
      </c>
      <c r="P22">
        <v>3</v>
      </c>
    </row>
    <row r="23" spans="1:16" x14ac:dyDescent="0.3">
      <c r="A23" t="s">
        <v>25</v>
      </c>
      <c r="B23" t="s">
        <v>26</v>
      </c>
      <c r="C23" s="1">
        <v>1.7159090909090908</v>
      </c>
      <c r="D23" s="1">
        <v>16.777777777777779</v>
      </c>
      <c r="E23" s="1">
        <v>6.3552188552188554E-2</v>
      </c>
      <c r="F23" s="1">
        <v>7.4101851851851865</v>
      </c>
      <c r="I23" t="s">
        <v>62</v>
      </c>
      <c r="J23" t="s">
        <v>53</v>
      </c>
      <c r="K23" s="1">
        <v>1.28</v>
      </c>
      <c r="L23" s="1">
        <v>10.667</v>
      </c>
      <c r="M23" s="1">
        <v>0.42699999999999999</v>
      </c>
      <c r="N23" s="1">
        <v>4.8639999999999999</v>
      </c>
      <c r="O23">
        <v>22</v>
      </c>
      <c r="P23">
        <v>7</v>
      </c>
    </row>
    <row r="24" spans="1:16" x14ac:dyDescent="0.3">
      <c r="B24" t="s">
        <v>27</v>
      </c>
      <c r="C24" s="1">
        <v>2.2516556291390728</v>
      </c>
      <c r="D24" s="1">
        <v>14.166666666666666</v>
      </c>
      <c r="E24" s="1">
        <v>9.3818984547461362E-2</v>
      </c>
      <c r="F24" s="1">
        <v>6.5860927152317883</v>
      </c>
      <c r="I24" t="s">
        <v>77</v>
      </c>
      <c r="J24" t="s">
        <v>61</v>
      </c>
      <c r="K24" s="1">
        <v>3.4409999999999998</v>
      </c>
      <c r="L24" s="1">
        <v>6.1580000000000004</v>
      </c>
      <c r="M24" s="1">
        <v>0.18099999999999999</v>
      </c>
      <c r="N24" s="1">
        <v>3.8759999999999999</v>
      </c>
      <c r="O24">
        <v>23</v>
      </c>
      <c r="P24">
        <v>4</v>
      </c>
    </row>
    <row r="25" spans="1:16" x14ac:dyDescent="0.3">
      <c r="B25" t="s">
        <v>28</v>
      </c>
      <c r="C25" s="1">
        <v>3.4411764705882355</v>
      </c>
      <c r="D25" s="1">
        <v>6.1578947368421053</v>
      </c>
      <c r="E25" s="1">
        <v>0.18111455108359134</v>
      </c>
      <c r="F25" s="1">
        <v>3.8758513931888547</v>
      </c>
      <c r="I25" t="s">
        <v>78</v>
      </c>
      <c r="J25" t="s">
        <v>61</v>
      </c>
      <c r="K25" s="1">
        <v>2.375</v>
      </c>
      <c r="L25" s="1">
        <v>4.4710000000000001</v>
      </c>
      <c r="M25" s="1">
        <v>0.14000000000000001</v>
      </c>
      <c r="N25" s="1">
        <v>2.766</v>
      </c>
      <c r="O25">
        <v>24</v>
      </c>
      <c r="P25">
        <v>5</v>
      </c>
    </row>
    <row r="26" spans="1:16" x14ac:dyDescent="0.3">
      <c r="B26" t="s">
        <v>29</v>
      </c>
      <c r="C26" s="1">
        <v>2.375</v>
      </c>
      <c r="D26" s="1">
        <v>4.4705882352941178</v>
      </c>
      <c r="E26" s="1">
        <v>0.13970588235294118</v>
      </c>
      <c r="F26" s="1">
        <v>2.7661764705882352</v>
      </c>
    </row>
    <row r="27" spans="1:16" x14ac:dyDescent="0.3">
      <c r="B27" t="s">
        <v>30</v>
      </c>
      <c r="C27" s="1">
        <v>2.5</v>
      </c>
      <c r="D27" s="1">
        <v>12</v>
      </c>
      <c r="E27" s="1">
        <v>0.5</v>
      </c>
      <c r="F27" s="1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Computations</vt:lpstr>
      <vt:lpstr>University_Metrics</vt:lpstr>
      <vt:lpstr>Block_Metrics</vt:lpstr>
      <vt:lpstr>TRO</vt:lpstr>
      <vt:lpstr>RPS</vt:lpstr>
      <vt:lpstr>RII</vt:lpstr>
      <vt:lpstr>ANPS</vt:lpstr>
      <vt:lpstr>RMF</vt:lpstr>
      <vt:lpstr>IRD</vt:lpstr>
      <vt:lpstr>ANOI</vt:lpstr>
      <vt:lpstr>BOS</vt:lpstr>
      <vt:lpstr>MOI</vt:lpstr>
      <vt:lpstr>BL-RII</vt:lpstr>
      <vt:lpstr>URPI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owan valentine</dc:creator>
  <cp:lastModifiedBy>owan valentine</cp:lastModifiedBy>
  <dcterms:created xsi:type="dcterms:W3CDTF">2026-02-09T01:44:53Z</dcterms:created>
  <dcterms:modified xsi:type="dcterms:W3CDTF">2026-03-30T15:50:44Z</dcterms:modified>
</cp:coreProperties>
</file>